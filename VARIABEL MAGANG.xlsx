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magang\Kominfo\"/>
    </mc:Choice>
  </mc:AlternateContent>
  <xr:revisionPtr revIDLastSave="0" documentId="13_ncr:1_{46F844DD-EB6A-447D-9630-1B715741330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variabel" sheetId="2" r:id="rId1"/>
    <sheet name="Sheet1" sheetId="6" r:id="rId2"/>
    <sheet name="Sheet2" sheetId="7" r:id="rId3"/>
    <sheet name="var_fix" sheetId="3" r:id="rId4"/>
    <sheet name="cluster 1" sheetId="4" r:id="rId5"/>
    <sheet name="cluster 2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7" l="1"/>
  <c r="K3" i="7"/>
  <c r="L3" i="7"/>
  <c r="K4" i="7"/>
  <c r="L4" i="7"/>
  <c r="K5" i="7"/>
  <c r="L5" i="7"/>
  <c r="K6" i="7"/>
  <c r="L6" i="7"/>
  <c r="K7" i="7"/>
  <c r="L7" i="7"/>
  <c r="K8" i="7"/>
  <c r="L8" i="7"/>
  <c r="K9" i="7"/>
  <c r="L9" i="7"/>
  <c r="K10" i="7"/>
  <c r="L10" i="7"/>
  <c r="K11" i="7"/>
  <c r="L11" i="7"/>
  <c r="K12" i="7"/>
  <c r="L12" i="7"/>
  <c r="K13" i="7"/>
  <c r="L13" i="7"/>
  <c r="K14" i="7"/>
  <c r="L14" i="7"/>
  <c r="K15" i="7"/>
  <c r="L15" i="7"/>
  <c r="K16" i="7"/>
  <c r="L16" i="7"/>
  <c r="K17" i="7"/>
  <c r="L17" i="7"/>
  <c r="K18" i="7"/>
  <c r="L18" i="7"/>
  <c r="K19" i="7"/>
  <c r="L19" i="7"/>
  <c r="K20" i="7"/>
  <c r="L20" i="7"/>
  <c r="K21" i="7"/>
  <c r="L21" i="7"/>
  <c r="K22" i="7"/>
  <c r="L22" i="7"/>
  <c r="K23" i="7"/>
  <c r="L23" i="7"/>
  <c r="K24" i="7"/>
  <c r="L24" i="7"/>
  <c r="K25" i="7"/>
  <c r="L25" i="7"/>
  <c r="K26" i="7"/>
  <c r="L26" i="7"/>
  <c r="K27" i="7"/>
  <c r="L27" i="7"/>
  <c r="K28" i="7"/>
  <c r="L28" i="7"/>
  <c r="K29" i="7"/>
  <c r="L29" i="7"/>
  <c r="K30" i="7"/>
  <c r="L30" i="7"/>
  <c r="K31" i="7"/>
  <c r="L31" i="7"/>
  <c r="K32" i="7"/>
  <c r="L32" i="7"/>
  <c r="K33" i="7"/>
  <c r="L33" i="7"/>
  <c r="K34" i="7"/>
  <c r="L34" i="7"/>
  <c r="K35" i="7"/>
  <c r="L35" i="7"/>
  <c r="K36" i="7"/>
  <c r="L36" i="7"/>
  <c r="K37" i="7"/>
  <c r="L37" i="7"/>
  <c r="K38" i="7"/>
  <c r="L38" i="7"/>
  <c r="K39" i="7"/>
  <c r="L39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2" i="7"/>
  <c r="C11" i="4"/>
  <c r="D11" i="4"/>
  <c r="E11" i="4"/>
  <c r="F11" i="4"/>
  <c r="G11" i="4"/>
  <c r="H11" i="4"/>
  <c r="B11" i="4"/>
  <c r="C33" i="5"/>
  <c r="D33" i="5"/>
  <c r="E33" i="5"/>
  <c r="F33" i="5"/>
  <c r="G33" i="5"/>
  <c r="H33" i="5"/>
  <c r="B33" i="5"/>
</calcChain>
</file>

<file path=xl/sharedStrings.xml><?xml version="1.0" encoding="utf-8"?>
<sst xmlns="http://schemas.openxmlformats.org/spreadsheetml/2006/main" count="404" uniqueCount="238">
  <si>
    <t>No</t>
  </si>
  <si>
    <t>Kab/Kota</t>
  </si>
  <si>
    <t>Luas Panen Komoditas Utama Tanaman Pangan (Hektar)</t>
  </si>
  <si>
    <t>indeks ketahanan daerah/bencana</t>
  </si>
  <si>
    <t>Produksi beras (Ton)</t>
  </si>
  <si>
    <t>Curah Hujan</t>
  </si>
  <si>
    <t>Harga Komoditas Beras (Rp/Kg)</t>
  </si>
  <si>
    <t>Harga Komoditas kedelai (Rp/Kg)</t>
  </si>
  <si>
    <t>Harga Komoditas Jagung Kering (Rp/Kg()</t>
  </si>
  <si>
    <t>Rata-rata Kalori Perkapita Sehari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</si>
  <si>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</si>
  <si>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</si>
  <si>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</si>
  <si>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</si>
  <si>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</si>
  <si>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</si>
  <si>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</si>
  <si>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</si>
  <si>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</si>
  <si>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</si>
  <si>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</si>
  <si>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</si>
  <si>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</si>
  <si>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</si>
  <si>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</si>
  <si>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</si>
  <si>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</si>
  <si>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</si>
  <si>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</si>
  <si>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</si>
  <si>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</si>
  <si>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</si>
  <si>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</si>
  <si>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</si>
  <si>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</si>
  <si>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</si>
  <si>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</si>
  <si>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</si>
  <si>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</si>
  <si>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</si>
  <si>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</si>
  <si>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</si>
  <si>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</si>
  <si>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</si>
  <si>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</si>
  <si>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</si>
  <si>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</si>
  <si>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</si>
  <si>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X1</t>
  </si>
  <si>
    <t>X2</t>
  </si>
  <si>
    <t>X3</t>
  </si>
  <si>
    <t>X4</t>
  </si>
  <si>
    <t>X5</t>
  </si>
  <si>
    <t>X6</t>
  </si>
  <si>
    <t>X7</t>
  </si>
  <si>
    <t>MEAN</t>
  </si>
  <si>
    <t>Variabel</t>
  </si>
  <si>
    <t>Cluster 1</t>
  </si>
  <si>
    <t>Cluster 2</t>
  </si>
  <si>
    <t>Indeks Ketahanan Daerah/Bencana</t>
  </si>
  <si>
    <t>Harga Komoditas Jagung Kering (Rp/Kg)</t>
  </si>
  <si>
    <t>0.58</t>
  </si>
  <si>
    <t>215098.2</t>
  </si>
  <si>
    <t>878.44</t>
  </si>
  <si>
    <t>21722.65</t>
  </si>
  <si>
    <t>1963.99</t>
  </si>
  <si>
    <t>0.7</t>
  </si>
  <si>
    <t>525184.9</t>
  </si>
  <si>
    <t>1145.35</t>
  </si>
  <si>
    <t>21449.16</t>
  </si>
  <si>
    <t>2156.29</t>
  </si>
  <si>
    <t>0.6</t>
  </si>
  <si>
    <t>277420.8</t>
  </si>
  <si>
    <t>1223.45</t>
  </si>
  <si>
    <t>20576.48</t>
  </si>
  <si>
    <t>1905.18</t>
  </si>
  <si>
    <t>0.59</t>
  </si>
  <si>
    <t>815274.1</t>
  </si>
  <si>
    <t>1078.46</t>
  </si>
  <si>
    <t>20406.68</t>
  </si>
  <si>
    <t>1941.68</t>
  </si>
  <si>
    <t>286144.9</t>
  </si>
  <si>
    <t>1138.38</t>
  </si>
  <si>
    <t>21972.47</t>
  </si>
  <si>
    <t>1875.85</t>
  </si>
  <si>
    <t>0.65</t>
  </si>
  <si>
    <t>482063.4</t>
  </si>
  <si>
    <t>1056.95</t>
  </si>
  <si>
    <t>20709.92</t>
  </si>
  <si>
    <t>2159.68</t>
  </si>
  <si>
    <t>0.55</t>
  </si>
  <si>
    <t>712219.7</t>
  </si>
  <si>
    <t>1004.25</t>
  </si>
  <si>
    <t>21629.49</t>
  </si>
  <si>
    <t>3495.5</t>
  </si>
  <si>
    <t>2046.45</t>
  </si>
  <si>
    <t>0.41</t>
  </si>
  <si>
    <t>400583.4</t>
  </si>
  <si>
    <t>1101.98</t>
  </si>
  <si>
    <t>21150.9</t>
  </si>
  <si>
    <t>7698.25</t>
  </si>
  <si>
    <t>1973.72</t>
  </si>
  <si>
    <t>0.63</t>
  </si>
  <si>
    <t>211952.2</t>
  </si>
  <si>
    <t>1075.67</t>
  </si>
  <si>
    <t>2136.06</t>
  </si>
  <si>
    <t>0.64</t>
  </si>
  <si>
    <t>5615.74</t>
  </si>
  <si>
    <t>832.45</t>
  </si>
  <si>
    <t>14738.33</t>
  </si>
  <si>
    <t>2009.98</t>
  </si>
  <si>
    <t>0.43</t>
  </si>
  <si>
    <t>6509.48</t>
  </si>
  <si>
    <t>1032.7</t>
  </si>
  <si>
    <t>2117.74</t>
  </si>
  <si>
    <t>0.77</t>
  </si>
  <si>
    <t>9552.36</t>
  </si>
  <si>
    <t>938.06</t>
  </si>
  <si>
    <t>726.75</t>
  </si>
  <si>
    <t>1984.12</t>
  </si>
  <si>
    <t>0.46</t>
  </si>
  <si>
    <t>14053.94</t>
  </si>
  <si>
    <t>1070.81</t>
  </si>
  <si>
    <t>13999.33</t>
  </si>
  <si>
    <t>2237.37</t>
  </si>
  <si>
    <t>0.61</t>
  </si>
  <si>
    <t>11916.32</t>
  </si>
  <si>
    <t>1334.65</t>
  </si>
  <si>
    <t>21767.08</t>
  </si>
  <si>
    <t>2365.37</t>
  </si>
  <si>
    <t>0.42</t>
  </si>
  <si>
    <t>3802.62</t>
  </si>
  <si>
    <t>2070.01</t>
  </si>
  <si>
    <t>0.48</t>
  </si>
  <si>
    <t>9261.88</t>
  </si>
  <si>
    <t>752.5</t>
  </si>
  <si>
    <t>2042.9</t>
  </si>
  <si>
    <t>8663.7</t>
  </si>
  <si>
    <t>813.97</t>
  </si>
  <si>
    <t>2011.75</t>
  </si>
  <si>
    <t>0.56</t>
  </si>
  <si>
    <t>9318.26</t>
  </si>
  <si>
    <t>1075.79</t>
  </si>
  <si>
    <t>1967.26</t>
  </si>
  <si>
    <t>922376.6</t>
  </si>
  <si>
    <t>1059.08</t>
  </si>
  <si>
    <t>20080.01</t>
  </si>
  <si>
    <t>1826.37</t>
  </si>
  <si>
    <t>0.78</t>
  </si>
  <si>
    <t>356436.9</t>
  </si>
  <si>
    <t>1168.47</t>
  </si>
  <si>
    <t>21881.97</t>
  </si>
  <si>
    <t>4613.32</t>
  </si>
  <si>
    <t>4820.34</t>
  </si>
  <si>
    <t>2121.51</t>
  </si>
  <si>
    <t>0.35</t>
  </si>
  <si>
    <t>505350.1</t>
  </si>
  <si>
    <t>1040.63</t>
  </si>
  <si>
    <t>20070.87</t>
  </si>
  <si>
    <t>3646.1</t>
  </si>
  <si>
    <t>1895.65</t>
  </si>
  <si>
    <t>0.66</t>
  </si>
  <si>
    <t>324039.1</t>
  </si>
  <si>
    <t>998.07</t>
  </si>
  <si>
    <t>18110.22</t>
  </si>
  <si>
    <t>2126.13</t>
  </si>
  <si>
    <t>1240.77</t>
  </si>
  <si>
    <t>21465.53</t>
  </si>
  <si>
    <t>2056.91</t>
  </si>
  <si>
    <t>0.76</t>
  </si>
  <si>
    <t>349790.4</t>
  </si>
  <si>
    <t>975.21</t>
  </si>
  <si>
    <t>21099.9</t>
  </si>
  <si>
    <t>2134.46</t>
  </si>
  <si>
    <t>482834.3</t>
  </si>
  <si>
    <t>1108.14</t>
  </si>
  <si>
    <t>21068.99</t>
  </si>
  <si>
    <t>1896.28</t>
  </si>
  <si>
    <t>0.5</t>
  </si>
  <si>
    <t>890672.2</t>
  </si>
  <si>
    <t>962.61</t>
  </si>
  <si>
    <t>21267.11</t>
  </si>
  <si>
    <t>3344.2</t>
  </si>
  <si>
    <t>2132.2</t>
  </si>
  <si>
    <t>0.71</t>
  </si>
  <si>
    <t>107391.7</t>
  </si>
  <si>
    <t>1246.84</t>
  </si>
  <si>
    <t>21165.65</t>
  </si>
  <si>
    <t>2048.97</t>
  </si>
  <si>
    <t>0.79</t>
  </si>
  <si>
    <t>125280.7</t>
  </si>
  <si>
    <t>857.92</t>
  </si>
  <si>
    <t>20310.14</t>
  </si>
  <si>
    <t>1997.53</t>
  </si>
  <si>
    <t>0.74</t>
  </si>
  <si>
    <t>1238.56</t>
  </si>
  <si>
    <t>21459.39</t>
  </si>
  <si>
    <t>2027.48</t>
  </si>
  <si>
    <t>453845.4</t>
  </si>
  <si>
    <t>1085.9</t>
  </si>
  <si>
    <t>21086.71</t>
  </si>
  <si>
    <t>1855.3</t>
  </si>
  <si>
    <t>232174.1</t>
  </si>
  <si>
    <t>1118.24</t>
  </si>
  <si>
    <t>21600.26</t>
  </si>
  <si>
    <t>4738.09</t>
  </si>
  <si>
    <t>1970.92</t>
  </si>
  <si>
    <t>0.62</t>
  </si>
  <si>
    <t>193079.3</t>
  </si>
  <si>
    <t>1174.2</t>
  </si>
  <si>
    <t>18468.52</t>
  </si>
  <si>
    <t>6545.27</t>
  </si>
  <si>
    <t>226181.6</t>
  </si>
  <si>
    <t>1200.78</t>
  </si>
  <si>
    <t>21104.87</t>
  </si>
  <si>
    <t>2139.06</t>
  </si>
  <si>
    <t>0.73</t>
  </si>
  <si>
    <t>181625.5</t>
  </si>
  <si>
    <t>962.57</t>
  </si>
  <si>
    <t>21708.84</t>
  </si>
  <si>
    <t>2832.08</t>
  </si>
  <si>
    <t>251536.4</t>
  </si>
  <si>
    <t>1027.26</t>
  </si>
  <si>
    <t>4846.5</t>
  </si>
  <si>
    <t>1990.43</t>
  </si>
  <si>
    <t>132661.7</t>
  </si>
  <si>
    <t>1162.8</t>
  </si>
  <si>
    <t>19152.28</t>
  </si>
  <si>
    <t>2044.74</t>
  </si>
  <si>
    <t>0.51</t>
  </si>
  <si>
    <t>579430.9</t>
  </si>
  <si>
    <t>884.27</t>
  </si>
  <si>
    <t>21436.1</t>
  </si>
  <si>
    <t>2164.95</t>
  </si>
  <si>
    <t>271967.3</t>
  </si>
  <si>
    <t>1070.32</t>
  </si>
  <si>
    <t>20600.85</t>
  </si>
  <si>
    <t>1954.1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</si>
</sst>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9"/>
  <sheetViews>
    <sheetView workbookViewId="0">
      <selection sqref="A1:XFD1048576"/>
    </sheetView>
  </sheetViews>
  <sheetFormatPr defaultColWidth="12.6328125" defaultRowHeight="15.75" customHeight="1" x14ac:dyDescent="0.25"/>
  <cols>
    <col min="1" max="1" width="3" customWidth="1"/>
    <col min="3" max="3" width="51.6328125" bestFit="1" customWidth="1"/>
    <col min="4" max="4" width="31.81640625" bestFit="1" customWidth="1"/>
    <col min="5" max="5" width="19.1796875" bestFit="1" customWidth="1"/>
    <col min="6" max="6" width="12.1796875" bestFit="1" customWidth="1"/>
    <col min="7" max="7" width="29.453125" bestFit="1" customWidth="1"/>
    <col min="8" max="8" width="30.6328125" style="8" bestFit="1" customWidth="1"/>
    <col min="9" max="9" width="38.08984375" bestFit="1" customWidth="1"/>
    <col min="10" max="10" width="30.36328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59</v>
      </c>
      <c r="E1" s="1" t="s">
        <v>4</v>
      </c>
      <c r="F1" s="1" t="s">
        <v>5</v>
      </c>
      <c r="G1" s="2" t="s">
        <v>6</v>
      </c>
      <c r="H1" s="6" t="s">
        <v>7</v>
      </c>
      <c r="I1" s="2" t="s">
        <v>60</v>
      </c>
      <c r="J1" s="2" t="s">
        <v>9</v>
      </c>
    </row>
    <row r="2" spans="1:10" x14ac:dyDescent="0.3">
      <c r="A2" s="3">
        <v>1</v>
      </c>
      <c r="B2" s="3" t="s">
        <v>10</v>
      </c>
      <c r="C2" s="3">
        <v>49214</v>
      </c>
      <c r="D2" s="3">
        <v>0.57999999999999996</v>
      </c>
      <c r="E2" s="3">
        <v>215098.2</v>
      </c>
      <c r="F2" s="3">
        <v>878.44</v>
      </c>
      <c r="G2" s="3">
        <v>21722.65</v>
      </c>
      <c r="H2" s="7">
        <v>1985.1880000000001</v>
      </c>
      <c r="I2" s="3">
        <v>5340.0140000000001</v>
      </c>
      <c r="J2" s="4">
        <v>1963.99</v>
      </c>
    </row>
    <row r="3" spans="1:10" x14ac:dyDescent="0.3">
      <c r="A3" s="3">
        <v>2</v>
      </c>
      <c r="B3" s="3" t="s">
        <v>11</v>
      </c>
      <c r="C3" s="3">
        <v>85051</v>
      </c>
      <c r="D3" s="3">
        <v>0.7</v>
      </c>
      <c r="E3" s="3">
        <v>525184.9</v>
      </c>
      <c r="F3" s="3">
        <v>1145.3499999999999</v>
      </c>
      <c r="G3" s="3">
        <v>21449.16</v>
      </c>
      <c r="H3" s="7">
        <v>6655.8459999999995</v>
      </c>
      <c r="I3" s="3">
        <v>4618.7969999999996</v>
      </c>
      <c r="J3" s="5">
        <v>2156.29</v>
      </c>
    </row>
    <row r="4" spans="1:10" x14ac:dyDescent="0.3">
      <c r="A4" s="3">
        <v>3</v>
      </c>
      <c r="B4" s="3" t="s">
        <v>12</v>
      </c>
      <c r="C4" s="3">
        <v>46911</v>
      </c>
      <c r="D4" s="3">
        <v>0.6</v>
      </c>
      <c r="E4" s="3">
        <v>277420.79999999999</v>
      </c>
      <c r="F4" s="3">
        <v>1223.45</v>
      </c>
      <c r="G4" s="3">
        <v>20576.48</v>
      </c>
      <c r="H4" s="7">
        <v>2578.125</v>
      </c>
      <c r="I4" s="3">
        <v>4817.8580000000002</v>
      </c>
      <c r="J4" s="5">
        <v>1905.18</v>
      </c>
    </row>
    <row r="5" spans="1:10" x14ac:dyDescent="0.3">
      <c r="A5" s="3">
        <v>4</v>
      </c>
      <c r="B5" s="3" t="s">
        <v>13</v>
      </c>
      <c r="C5" s="3">
        <v>112791</v>
      </c>
      <c r="D5" s="3">
        <v>0.59</v>
      </c>
      <c r="E5" s="3">
        <v>815274.1</v>
      </c>
      <c r="F5" s="3">
        <v>1078.46</v>
      </c>
      <c r="G5" s="3">
        <v>20406.68</v>
      </c>
      <c r="H5" s="7">
        <v>8160.8230000000003</v>
      </c>
      <c r="I5" s="3">
        <v>4487.2089999999998</v>
      </c>
      <c r="J5" s="5">
        <v>1941.68</v>
      </c>
    </row>
    <row r="6" spans="1:10" x14ac:dyDescent="0.3">
      <c r="A6" s="3">
        <v>5</v>
      </c>
      <c r="B6" s="3" t="s">
        <v>14</v>
      </c>
      <c r="C6" s="3">
        <v>58121</v>
      </c>
      <c r="D6" s="3">
        <v>0.6</v>
      </c>
      <c r="E6" s="3">
        <v>286144.90000000002</v>
      </c>
      <c r="F6" s="3">
        <v>1138.3800000000001</v>
      </c>
      <c r="G6" s="3">
        <v>21972.47</v>
      </c>
      <c r="H6" s="7">
        <v>2485.6880000000001</v>
      </c>
      <c r="I6" s="3">
        <v>4613.5469999999996</v>
      </c>
      <c r="J6" s="5">
        <v>1875.85</v>
      </c>
    </row>
    <row r="7" spans="1:10" x14ac:dyDescent="0.3">
      <c r="A7" s="3">
        <v>6</v>
      </c>
      <c r="B7" s="3" t="s">
        <v>15</v>
      </c>
      <c r="C7" s="3">
        <v>67085</v>
      </c>
      <c r="D7" s="3">
        <v>0.65</v>
      </c>
      <c r="E7" s="3">
        <v>482063.4</v>
      </c>
      <c r="F7" s="3">
        <v>1056.95</v>
      </c>
      <c r="G7" s="3">
        <v>20709.919999999998</v>
      </c>
      <c r="H7" s="7">
        <v>1157.143</v>
      </c>
      <c r="I7" s="3">
        <v>4113.2950000000001</v>
      </c>
      <c r="J7" s="5">
        <v>2159.6799999999998</v>
      </c>
    </row>
    <row r="8" spans="1:10" x14ac:dyDescent="0.3">
      <c r="A8" s="3">
        <v>7</v>
      </c>
      <c r="B8" s="3" t="s">
        <v>16</v>
      </c>
      <c r="C8" s="3">
        <v>157001</v>
      </c>
      <c r="D8" s="3">
        <v>0.55000000000000004</v>
      </c>
      <c r="E8" s="3">
        <v>712219.7</v>
      </c>
      <c r="F8" s="3">
        <v>1004.25</v>
      </c>
      <c r="G8" s="3">
        <v>21629.49</v>
      </c>
      <c r="H8" s="7">
        <v>3495.5</v>
      </c>
      <c r="I8" s="3">
        <v>4719.674</v>
      </c>
      <c r="J8" s="5">
        <v>2046.45</v>
      </c>
    </row>
    <row r="9" spans="1:10" x14ac:dyDescent="0.3">
      <c r="A9" s="3">
        <v>8</v>
      </c>
      <c r="B9" s="3" t="s">
        <v>17</v>
      </c>
      <c r="C9" s="3">
        <v>72776</v>
      </c>
      <c r="D9" s="3">
        <v>0.41</v>
      </c>
      <c r="E9" s="3">
        <v>400583.4</v>
      </c>
      <c r="F9" s="3">
        <v>1101.98</v>
      </c>
      <c r="G9" s="3">
        <v>21150.9</v>
      </c>
      <c r="H9" s="7">
        <v>7698.25</v>
      </c>
      <c r="I9" s="3">
        <v>4458.9250000000002</v>
      </c>
      <c r="J9" s="5">
        <v>1973.72</v>
      </c>
    </row>
    <row r="10" spans="1:10" x14ac:dyDescent="0.3">
      <c r="A10" s="3">
        <v>9</v>
      </c>
      <c r="B10" s="3" t="s">
        <v>18</v>
      </c>
      <c r="C10" s="3">
        <v>44925</v>
      </c>
      <c r="D10" s="3">
        <v>0.63</v>
      </c>
      <c r="E10" s="3">
        <v>211952.2</v>
      </c>
      <c r="F10" s="3">
        <v>1075.67</v>
      </c>
      <c r="G10" s="3">
        <v>21121</v>
      </c>
      <c r="H10" s="7">
        <v>6757.857</v>
      </c>
      <c r="I10" s="3">
        <v>4764.8549999999996</v>
      </c>
      <c r="J10" s="5">
        <v>2136.06</v>
      </c>
    </row>
    <row r="11" spans="1:10" x14ac:dyDescent="0.3">
      <c r="A11" s="3">
        <v>10</v>
      </c>
      <c r="B11" s="3" t="s">
        <v>19</v>
      </c>
      <c r="C11" s="3">
        <v>421</v>
      </c>
      <c r="D11" s="3">
        <v>0.64</v>
      </c>
      <c r="E11" s="3">
        <v>5615.74</v>
      </c>
      <c r="F11" s="3">
        <v>832.45</v>
      </c>
      <c r="G11" s="3">
        <v>14738.33</v>
      </c>
      <c r="H11" s="7">
        <v>0</v>
      </c>
      <c r="I11" s="3">
        <v>3118.3330000000001</v>
      </c>
      <c r="J11" s="5">
        <v>2009.98</v>
      </c>
    </row>
    <row r="12" spans="1:10" x14ac:dyDescent="0.3">
      <c r="A12" s="3">
        <v>11</v>
      </c>
      <c r="B12" s="3" t="s">
        <v>20</v>
      </c>
      <c r="C12" s="3">
        <v>958</v>
      </c>
      <c r="D12" s="3">
        <v>0.43</v>
      </c>
      <c r="E12" s="3">
        <v>6509.48</v>
      </c>
      <c r="F12" s="3">
        <v>1032.7</v>
      </c>
      <c r="G12" s="3">
        <v>9180</v>
      </c>
      <c r="H12" s="7">
        <v>0</v>
      </c>
      <c r="I12" s="3">
        <v>1339.9169999999999</v>
      </c>
      <c r="J12" s="5">
        <v>2117.7399999999998</v>
      </c>
    </row>
    <row r="13" spans="1:10" x14ac:dyDescent="0.3">
      <c r="A13" s="3">
        <v>12</v>
      </c>
      <c r="B13" s="3" t="s">
        <v>21</v>
      </c>
      <c r="C13" s="3">
        <v>1327</v>
      </c>
      <c r="D13" s="3">
        <v>0.77</v>
      </c>
      <c r="E13" s="3">
        <v>9552.36</v>
      </c>
      <c r="F13" s="3">
        <v>938.06</v>
      </c>
      <c r="G13" s="3">
        <v>726.75</v>
      </c>
      <c r="H13" s="7">
        <v>0</v>
      </c>
      <c r="I13" s="3">
        <v>0</v>
      </c>
      <c r="J13" s="5">
        <v>1984.12</v>
      </c>
    </row>
    <row r="14" spans="1:10" x14ac:dyDescent="0.3">
      <c r="A14" s="3">
        <v>13</v>
      </c>
      <c r="B14" s="3" t="s">
        <v>22</v>
      </c>
      <c r="C14" s="3">
        <v>2436</v>
      </c>
      <c r="D14" s="3">
        <v>0.46</v>
      </c>
      <c r="E14" s="3">
        <v>14053.94</v>
      </c>
      <c r="F14" s="3">
        <v>1070.81</v>
      </c>
      <c r="G14" s="3">
        <v>13999.33</v>
      </c>
      <c r="H14" s="7">
        <v>0</v>
      </c>
      <c r="I14" s="3">
        <v>0</v>
      </c>
      <c r="J14" s="5">
        <v>2237.37</v>
      </c>
    </row>
    <row r="15" spans="1:10" x14ac:dyDescent="0.3">
      <c r="A15" s="3">
        <v>14</v>
      </c>
      <c r="B15" s="3" t="s">
        <v>23</v>
      </c>
      <c r="C15" s="3">
        <v>2059</v>
      </c>
      <c r="D15" s="3">
        <v>0.61</v>
      </c>
      <c r="E15" s="3">
        <v>11916.32</v>
      </c>
      <c r="F15" s="3">
        <v>1334.65</v>
      </c>
      <c r="G15" s="3">
        <v>21767.08</v>
      </c>
      <c r="H15" s="7">
        <v>0</v>
      </c>
      <c r="I15" s="3">
        <v>5464.8329999999996</v>
      </c>
      <c r="J15" s="5">
        <v>2365.37</v>
      </c>
    </row>
    <row r="16" spans="1:10" x14ac:dyDescent="0.3">
      <c r="A16" s="3">
        <v>15</v>
      </c>
      <c r="B16" s="3" t="s">
        <v>24</v>
      </c>
      <c r="C16" s="3">
        <v>783</v>
      </c>
      <c r="D16" s="3">
        <v>0.42</v>
      </c>
      <c r="E16" s="3">
        <v>3802.62</v>
      </c>
      <c r="F16" s="3">
        <v>0</v>
      </c>
      <c r="G16" s="3">
        <v>2250</v>
      </c>
      <c r="H16" s="7">
        <v>0</v>
      </c>
      <c r="I16" s="3">
        <v>0</v>
      </c>
      <c r="J16" s="5">
        <v>2070.0100000000002</v>
      </c>
    </row>
    <row r="17" spans="1:10" x14ac:dyDescent="0.3">
      <c r="A17" s="3">
        <v>16</v>
      </c>
      <c r="B17" s="3" t="s">
        <v>25</v>
      </c>
      <c r="C17" s="3">
        <v>2154</v>
      </c>
      <c r="D17" s="3">
        <v>0.48</v>
      </c>
      <c r="E17" s="3">
        <v>9261.8799999999992</v>
      </c>
      <c r="F17" s="3">
        <v>752.5</v>
      </c>
      <c r="G17" s="3">
        <v>733.33330000000001</v>
      </c>
      <c r="H17" s="7">
        <v>0</v>
      </c>
      <c r="I17" s="3">
        <v>0</v>
      </c>
      <c r="J17" s="5">
        <v>2042.9</v>
      </c>
    </row>
    <row r="18" spans="1:10" x14ac:dyDescent="0.3">
      <c r="A18" s="3">
        <v>17</v>
      </c>
      <c r="B18" s="3" t="s">
        <v>26</v>
      </c>
      <c r="C18" s="3">
        <v>1662</v>
      </c>
      <c r="D18" s="3">
        <v>0.41</v>
      </c>
      <c r="E18" s="3">
        <v>8663.7000000000007</v>
      </c>
      <c r="F18" s="3">
        <v>813.97</v>
      </c>
      <c r="G18" s="3">
        <v>4912.4170000000004</v>
      </c>
      <c r="H18" s="7">
        <v>541.66669999999999</v>
      </c>
      <c r="I18" s="3">
        <v>3378.6669999999999</v>
      </c>
      <c r="J18" s="5">
        <v>2011.75</v>
      </c>
    </row>
    <row r="19" spans="1:10" x14ac:dyDescent="0.3">
      <c r="A19" s="3">
        <v>18</v>
      </c>
      <c r="B19" s="3" t="s">
        <v>27</v>
      </c>
      <c r="C19" s="3">
        <v>1046</v>
      </c>
      <c r="D19" s="3">
        <v>0.56000000000000005</v>
      </c>
      <c r="E19" s="3">
        <v>9318.26</v>
      </c>
      <c r="F19" s="3">
        <v>1075.79</v>
      </c>
      <c r="G19" s="3">
        <v>8799.9169999999995</v>
      </c>
      <c r="H19" s="7">
        <v>2755.5830000000001</v>
      </c>
      <c r="I19" s="3">
        <v>3734.1669999999999</v>
      </c>
      <c r="J19" s="5">
        <v>1967.26</v>
      </c>
    </row>
    <row r="20" spans="1:10" x14ac:dyDescent="0.3">
      <c r="A20" s="3">
        <v>19</v>
      </c>
      <c r="B20" s="3" t="s">
        <v>28</v>
      </c>
      <c r="C20" s="3">
        <v>144796</v>
      </c>
      <c r="D20" s="3">
        <v>0.65</v>
      </c>
      <c r="E20" s="3">
        <v>922376.6</v>
      </c>
      <c r="F20" s="3">
        <v>1059.08</v>
      </c>
      <c r="G20" s="3">
        <v>20080.009999999998</v>
      </c>
      <c r="H20" s="7">
        <v>7769.9210000000003</v>
      </c>
      <c r="I20" s="3">
        <v>4511.5680000000002</v>
      </c>
      <c r="J20" s="5">
        <v>1826.37</v>
      </c>
    </row>
    <row r="21" spans="1:10" x14ac:dyDescent="0.3">
      <c r="A21" s="3">
        <v>20</v>
      </c>
      <c r="B21" s="3" t="s">
        <v>29</v>
      </c>
      <c r="C21" s="3">
        <v>74700</v>
      </c>
      <c r="D21" s="3">
        <v>0.78</v>
      </c>
      <c r="E21" s="3">
        <v>356436.9</v>
      </c>
      <c r="F21" s="3">
        <v>1168.47</v>
      </c>
      <c r="G21" s="3">
        <v>21881.97</v>
      </c>
      <c r="H21" s="7">
        <v>4613.32</v>
      </c>
      <c r="I21" s="3">
        <v>4820.34</v>
      </c>
      <c r="J21" s="5">
        <v>2121.5100000000002</v>
      </c>
    </row>
    <row r="22" spans="1:10" x14ac:dyDescent="0.3">
      <c r="A22" s="3">
        <v>21</v>
      </c>
      <c r="B22" s="3" t="s">
        <v>30</v>
      </c>
      <c r="C22" s="3">
        <v>83429</v>
      </c>
      <c r="D22" s="3">
        <v>0.35</v>
      </c>
      <c r="E22" s="3">
        <v>505350.1</v>
      </c>
      <c r="F22" s="3">
        <v>1040.6300000000001</v>
      </c>
      <c r="G22" s="3">
        <v>20070.87</v>
      </c>
      <c r="H22" s="7">
        <v>3646.1</v>
      </c>
      <c r="I22" s="3">
        <v>4561.9269999999997</v>
      </c>
      <c r="J22" s="5">
        <v>1895.65</v>
      </c>
    </row>
    <row r="23" spans="1:10" x14ac:dyDescent="0.3">
      <c r="A23" s="3">
        <v>22</v>
      </c>
      <c r="B23" s="3" t="s">
        <v>31</v>
      </c>
      <c r="C23" s="3">
        <v>54461</v>
      </c>
      <c r="D23" s="3">
        <v>0.66</v>
      </c>
      <c r="E23" s="3">
        <v>324039.09999999998</v>
      </c>
      <c r="F23" s="3">
        <v>998.07</v>
      </c>
      <c r="G23" s="3">
        <v>18110.22</v>
      </c>
      <c r="H23" s="7">
        <v>5321.0529999999999</v>
      </c>
      <c r="I23" s="3">
        <v>4734.3869999999997</v>
      </c>
      <c r="J23" s="5">
        <v>2126.13</v>
      </c>
    </row>
    <row r="24" spans="1:10" x14ac:dyDescent="0.3">
      <c r="A24" s="3">
        <v>23</v>
      </c>
      <c r="B24" s="3" t="s">
        <v>32</v>
      </c>
      <c r="C24" s="3">
        <v>74455</v>
      </c>
      <c r="D24" s="3">
        <v>0.64</v>
      </c>
      <c r="E24" s="3">
        <v>322623</v>
      </c>
      <c r="F24" s="3">
        <v>1240.77</v>
      </c>
      <c r="G24" s="3">
        <v>21465.53</v>
      </c>
      <c r="H24" s="7">
        <v>8171.8969999999999</v>
      </c>
      <c r="I24" s="3">
        <v>4878.5349999999999</v>
      </c>
      <c r="J24" s="5">
        <v>2056.91</v>
      </c>
    </row>
    <row r="25" spans="1:10" x14ac:dyDescent="0.3">
      <c r="A25" s="3">
        <v>24</v>
      </c>
      <c r="B25" s="3" t="s">
        <v>33</v>
      </c>
      <c r="C25" s="3">
        <v>52080</v>
      </c>
      <c r="D25" s="3">
        <v>0.76</v>
      </c>
      <c r="E25" s="3">
        <v>349790.4</v>
      </c>
      <c r="F25" s="3">
        <v>975.21</v>
      </c>
      <c r="G25" s="3">
        <v>21099.9</v>
      </c>
      <c r="H25" s="7">
        <v>5141.6090000000004</v>
      </c>
      <c r="I25" s="3">
        <v>4528.6030000000001</v>
      </c>
      <c r="J25" s="5">
        <v>2134.46</v>
      </c>
    </row>
    <row r="26" spans="1:10" x14ac:dyDescent="0.3">
      <c r="A26" s="3">
        <v>25</v>
      </c>
      <c r="B26" s="3" t="s">
        <v>34</v>
      </c>
      <c r="C26" s="3">
        <v>75823</v>
      </c>
      <c r="D26" s="3">
        <v>0.64</v>
      </c>
      <c r="E26" s="3">
        <v>482834.3</v>
      </c>
      <c r="F26" s="3">
        <v>1108.1400000000001</v>
      </c>
      <c r="G26" s="3">
        <v>21068.99</v>
      </c>
      <c r="H26" s="7">
        <v>6982.1580000000004</v>
      </c>
      <c r="I26" s="3">
        <v>4700.0559999999996</v>
      </c>
      <c r="J26" s="5">
        <v>1896.28</v>
      </c>
    </row>
    <row r="27" spans="1:10" x14ac:dyDescent="0.3">
      <c r="A27" s="3">
        <v>26</v>
      </c>
      <c r="B27" s="3" t="s">
        <v>35</v>
      </c>
      <c r="C27" s="3">
        <v>137939</v>
      </c>
      <c r="D27" s="3">
        <v>0.5</v>
      </c>
      <c r="E27" s="3">
        <v>890672.2</v>
      </c>
      <c r="F27" s="3">
        <v>962.61</v>
      </c>
      <c r="G27" s="3">
        <v>21267.11</v>
      </c>
      <c r="H27" s="7">
        <v>3344.2</v>
      </c>
      <c r="I27" s="3">
        <v>4291.7060000000001</v>
      </c>
      <c r="J27" s="5">
        <v>2132.1999999999998</v>
      </c>
    </row>
    <row r="28" spans="1:10" x14ac:dyDescent="0.3">
      <c r="A28" s="3">
        <v>27</v>
      </c>
      <c r="B28" s="3" t="s">
        <v>36</v>
      </c>
      <c r="C28" s="3">
        <v>34627</v>
      </c>
      <c r="D28" s="3">
        <v>0.71</v>
      </c>
      <c r="E28" s="3">
        <v>107391.7</v>
      </c>
      <c r="F28" s="3">
        <v>1246.8399999999999</v>
      </c>
      <c r="G28" s="3">
        <v>21165.65</v>
      </c>
      <c r="H28" s="7">
        <v>6972.2719999999999</v>
      </c>
      <c r="I28" s="3">
        <v>4587.2470000000003</v>
      </c>
      <c r="J28" s="5">
        <v>2048.9699999999998</v>
      </c>
    </row>
    <row r="29" spans="1:10" x14ac:dyDescent="0.3">
      <c r="A29" s="3">
        <v>28</v>
      </c>
      <c r="B29" s="3" t="s">
        <v>37</v>
      </c>
      <c r="C29" s="3">
        <v>32213</v>
      </c>
      <c r="D29" s="3">
        <v>0.79</v>
      </c>
      <c r="E29" s="3">
        <v>125280.7</v>
      </c>
      <c r="F29" s="3">
        <v>857.92</v>
      </c>
      <c r="G29" s="3">
        <v>20310.14</v>
      </c>
      <c r="H29" s="7">
        <v>6727.6040000000003</v>
      </c>
      <c r="I29" s="3">
        <v>4998.1329999999998</v>
      </c>
      <c r="J29" s="5">
        <v>1997.53</v>
      </c>
    </row>
    <row r="30" spans="1:10" x14ac:dyDescent="0.3">
      <c r="A30" s="3">
        <v>29</v>
      </c>
      <c r="B30" s="3" t="s">
        <v>38</v>
      </c>
      <c r="C30" s="3">
        <v>80732</v>
      </c>
      <c r="D30" s="3">
        <v>0.74</v>
      </c>
      <c r="E30" s="3">
        <v>300330</v>
      </c>
      <c r="F30" s="3">
        <v>1238.56</v>
      </c>
      <c r="G30" s="3">
        <v>21459.39</v>
      </c>
      <c r="H30" s="7">
        <v>2597.6880000000001</v>
      </c>
      <c r="I30" s="3">
        <v>4695.7879999999996</v>
      </c>
      <c r="J30" s="5">
        <v>2027.48</v>
      </c>
    </row>
    <row r="31" spans="1:10" x14ac:dyDescent="0.3">
      <c r="A31" s="3">
        <v>30</v>
      </c>
      <c r="B31" s="3" t="s">
        <v>39</v>
      </c>
      <c r="C31" s="3">
        <v>73042</v>
      </c>
      <c r="D31" s="3">
        <v>0.55000000000000004</v>
      </c>
      <c r="E31" s="3">
        <v>453845.4</v>
      </c>
      <c r="F31" s="3">
        <v>1085.9000000000001</v>
      </c>
      <c r="G31" s="3">
        <v>21086.71</v>
      </c>
      <c r="H31" s="7">
        <v>3574.875</v>
      </c>
      <c r="I31" s="3">
        <v>4647.4650000000001</v>
      </c>
      <c r="J31" s="5">
        <v>1855.3</v>
      </c>
    </row>
    <row r="32" spans="1:10" x14ac:dyDescent="0.3">
      <c r="A32" s="3">
        <v>31</v>
      </c>
      <c r="B32" s="3" t="s">
        <v>40</v>
      </c>
      <c r="C32" s="3">
        <v>52230</v>
      </c>
      <c r="D32" s="3">
        <v>0.59</v>
      </c>
      <c r="E32" s="3">
        <v>232174.1</v>
      </c>
      <c r="F32" s="3">
        <v>1118.24</v>
      </c>
      <c r="G32" s="3">
        <v>21600.26</v>
      </c>
      <c r="H32" s="7">
        <v>4128.0590000000002</v>
      </c>
      <c r="I32" s="3">
        <v>4738.09</v>
      </c>
      <c r="J32" s="5">
        <v>1970.92</v>
      </c>
    </row>
    <row r="33" spans="1:10" x14ac:dyDescent="0.3">
      <c r="A33" s="3">
        <v>32</v>
      </c>
      <c r="B33" s="3" t="s">
        <v>41</v>
      </c>
      <c r="C33" s="3">
        <v>46882</v>
      </c>
      <c r="D33" s="3">
        <v>0.62</v>
      </c>
      <c r="E33" s="3">
        <v>193079.3</v>
      </c>
      <c r="F33" s="3">
        <v>1174.2</v>
      </c>
      <c r="G33" s="3">
        <v>18468.52</v>
      </c>
      <c r="H33" s="7">
        <v>6545.27</v>
      </c>
      <c r="I33" s="3">
        <v>5029.4880000000003</v>
      </c>
      <c r="J33" s="5">
        <v>1907</v>
      </c>
    </row>
    <row r="34" spans="1:10" x14ac:dyDescent="0.3">
      <c r="A34" s="3">
        <v>33</v>
      </c>
      <c r="B34" s="3" t="s">
        <v>42</v>
      </c>
      <c r="C34" s="3">
        <v>26471</v>
      </c>
      <c r="D34" s="3">
        <v>0.79</v>
      </c>
      <c r="E34" s="3">
        <v>226181.6</v>
      </c>
      <c r="F34" s="3">
        <v>1200.78</v>
      </c>
      <c r="G34" s="3">
        <v>21104.87</v>
      </c>
      <c r="H34" s="7">
        <v>5716.3329999999996</v>
      </c>
      <c r="I34" s="3">
        <v>3910.9540000000002</v>
      </c>
      <c r="J34" s="5">
        <v>2139.06</v>
      </c>
    </row>
    <row r="35" spans="1:10" x14ac:dyDescent="0.3">
      <c r="A35" s="3">
        <v>34</v>
      </c>
      <c r="B35" s="3" t="s">
        <v>43</v>
      </c>
      <c r="C35" s="3">
        <v>45281</v>
      </c>
      <c r="D35" s="3">
        <v>0.73</v>
      </c>
      <c r="E35" s="3">
        <v>181625.5</v>
      </c>
      <c r="F35" s="3">
        <v>962.57</v>
      </c>
      <c r="G35" s="3">
        <v>21708.84</v>
      </c>
      <c r="H35" s="7">
        <v>0</v>
      </c>
      <c r="I35" s="3">
        <v>4640.4189999999999</v>
      </c>
      <c r="J35" s="5">
        <v>2832.08</v>
      </c>
    </row>
    <row r="36" spans="1:10" x14ac:dyDescent="0.3">
      <c r="A36" s="3">
        <v>35</v>
      </c>
      <c r="B36" s="3" t="s">
        <v>44</v>
      </c>
      <c r="C36" s="3">
        <v>30333</v>
      </c>
      <c r="D36" s="3">
        <v>0.63</v>
      </c>
      <c r="E36" s="3">
        <v>251536.4</v>
      </c>
      <c r="F36" s="3">
        <v>1027.26</v>
      </c>
      <c r="G36" s="3">
        <v>9958.6820000000007</v>
      </c>
      <c r="H36" s="7">
        <v>4846.5</v>
      </c>
      <c r="I36" s="3">
        <v>4542.1880000000001</v>
      </c>
      <c r="J36" s="5">
        <v>1990.43</v>
      </c>
    </row>
    <row r="37" spans="1:10" x14ac:dyDescent="0.3">
      <c r="A37" s="3">
        <v>36</v>
      </c>
      <c r="B37" s="3" t="s">
        <v>45</v>
      </c>
      <c r="C37" s="3">
        <v>25790</v>
      </c>
      <c r="D37" s="3">
        <v>0.63</v>
      </c>
      <c r="E37" s="3">
        <v>132661.70000000001</v>
      </c>
      <c r="F37" s="3">
        <v>1162.8</v>
      </c>
      <c r="G37" s="3">
        <v>19152.28</v>
      </c>
      <c r="H37" s="7">
        <v>8425.0730000000003</v>
      </c>
      <c r="I37" s="3">
        <v>4619.4589999999998</v>
      </c>
      <c r="J37" s="5">
        <v>2044.74</v>
      </c>
    </row>
    <row r="38" spans="1:10" x14ac:dyDescent="0.3">
      <c r="A38" s="3">
        <v>37</v>
      </c>
      <c r="B38" s="3" t="s">
        <v>46</v>
      </c>
      <c r="C38" s="3">
        <v>98914</v>
      </c>
      <c r="D38" s="3">
        <v>0.51</v>
      </c>
      <c r="E38" s="3">
        <v>579430.9</v>
      </c>
      <c r="F38" s="3">
        <v>884.27</v>
      </c>
      <c r="G38" s="3">
        <v>21436.1</v>
      </c>
      <c r="H38" s="7">
        <v>7854.9769999999999</v>
      </c>
      <c r="I38" s="3">
        <v>4705.2510000000002</v>
      </c>
      <c r="J38" s="5">
        <v>2164.9499999999998</v>
      </c>
    </row>
    <row r="39" spans="1:10" x14ac:dyDescent="0.3">
      <c r="A39" s="3">
        <v>38</v>
      </c>
      <c r="B39" s="3" t="s">
        <v>47</v>
      </c>
      <c r="C39" s="3">
        <v>41451</v>
      </c>
      <c r="D39" s="3">
        <v>0.65</v>
      </c>
      <c r="E39" s="3">
        <v>271967.3</v>
      </c>
      <c r="F39" s="3">
        <v>1070.32</v>
      </c>
      <c r="G39" s="3">
        <v>20600.849999999999</v>
      </c>
      <c r="H39" s="7">
        <v>0</v>
      </c>
      <c r="I39" s="3">
        <v>4845.9470000000001</v>
      </c>
      <c r="J39" s="5">
        <v>1954.1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5709-0E25-4248-A9E3-17AC5EDFE4C1}">
  <dimension ref="A1:J39"/>
  <sheetViews>
    <sheetView topLeftCell="G1" zoomScale="125" workbookViewId="0">
      <selection activeCell="B1" sqref="B1:B1048576"/>
    </sheetView>
  </sheetViews>
  <sheetFormatPr defaultColWidth="12.6328125" defaultRowHeight="12.5" x14ac:dyDescent="0.25"/>
  <cols>
    <col min="1" max="1" width="3" customWidth="1"/>
    <col min="3" max="3" width="51.6328125" bestFit="1" customWidth="1"/>
    <col min="4" max="4" width="31.81640625" bestFit="1" customWidth="1"/>
    <col min="5" max="5" width="19.1796875" bestFit="1" customWidth="1"/>
    <col min="6" max="6" width="12.1796875" bestFit="1" customWidth="1"/>
    <col min="7" max="7" width="29.453125" bestFit="1" customWidth="1"/>
    <col min="8" max="8" width="30.6328125" style="8" bestFit="1" customWidth="1"/>
    <col min="9" max="9" width="38.08984375" bestFit="1" customWidth="1"/>
    <col min="10" max="10" width="30.36328125" bestFit="1" customWidth="1"/>
  </cols>
  <sheetData>
    <row r="1" spans="1:10" ht="14" x14ac:dyDescent="0.3">
      <c r="A1" s="11" t="s">
        <v>0</v>
      </c>
      <c r="B1" s="11" t="s">
        <v>1</v>
      </c>
      <c r="C1" s="11" t="s">
        <v>2</v>
      </c>
      <c r="D1" s="11" t="s">
        <v>59</v>
      </c>
      <c r="E1" s="11" t="s">
        <v>4</v>
      </c>
      <c r="F1" s="11" t="s">
        <v>5</v>
      </c>
      <c r="G1" s="12" t="s">
        <v>6</v>
      </c>
      <c r="H1" s="13" t="s">
        <v>7</v>
      </c>
      <c r="I1" s="12" t="s">
        <v>60</v>
      </c>
      <c r="J1" s="12" t="s">
        <v>9</v>
      </c>
    </row>
    <row r="2" spans="1:10" ht="14" x14ac:dyDescent="0.3">
      <c r="A2" s="14">
        <v>1</v>
      </c>
      <c r="B2" s="14" t="s">
        <v>10</v>
      </c>
      <c r="C2" s="14">
        <v>49214</v>
      </c>
      <c r="D2" s="14" t="s">
        <v>61</v>
      </c>
      <c r="E2" s="14" t="s">
        <v>62</v>
      </c>
      <c r="F2" s="14" t="s">
        <v>63</v>
      </c>
      <c r="G2" s="14" t="s">
        <v>64</v>
      </c>
      <c r="H2" s="15">
        <v>1985188</v>
      </c>
      <c r="I2" s="14">
        <v>5340014</v>
      </c>
      <c r="J2" s="14" t="s">
        <v>65</v>
      </c>
    </row>
    <row r="3" spans="1:10" ht="14" x14ac:dyDescent="0.3">
      <c r="A3" s="14">
        <v>2</v>
      </c>
      <c r="B3" s="14" t="s">
        <v>11</v>
      </c>
      <c r="C3" s="14">
        <v>85051</v>
      </c>
      <c r="D3" s="14" t="s">
        <v>66</v>
      </c>
      <c r="E3" s="14" t="s">
        <v>67</v>
      </c>
      <c r="F3" s="14" t="s">
        <v>68</v>
      </c>
      <c r="G3" s="14" t="s">
        <v>69</v>
      </c>
      <c r="H3" s="15">
        <v>6655846</v>
      </c>
      <c r="I3" s="14">
        <v>4618797</v>
      </c>
      <c r="J3" s="16" t="s">
        <v>70</v>
      </c>
    </row>
    <row r="4" spans="1:10" ht="14" x14ac:dyDescent="0.3">
      <c r="A4" s="14">
        <v>3</v>
      </c>
      <c r="B4" s="14" t="s">
        <v>12</v>
      </c>
      <c r="C4" s="14">
        <v>46911</v>
      </c>
      <c r="D4" s="14" t="s">
        <v>71</v>
      </c>
      <c r="E4" s="14" t="s">
        <v>72</v>
      </c>
      <c r="F4" s="14" t="s">
        <v>73</v>
      </c>
      <c r="G4" s="14" t="s">
        <v>74</v>
      </c>
      <c r="H4" s="15">
        <v>2578125</v>
      </c>
      <c r="I4" s="14">
        <v>4817858</v>
      </c>
      <c r="J4" s="16" t="s">
        <v>75</v>
      </c>
    </row>
    <row r="5" spans="1:10" ht="14" x14ac:dyDescent="0.3">
      <c r="A5" s="14">
        <v>4</v>
      </c>
      <c r="B5" s="14" t="s">
        <v>13</v>
      </c>
      <c r="C5" s="14">
        <v>112791</v>
      </c>
      <c r="D5" s="14" t="s">
        <v>76</v>
      </c>
      <c r="E5" s="14" t="s">
        <v>77</v>
      </c>
      <c r="F5" s="14" t="s">
        <v>78</v>
      </c>
      <c r="G5" s="14" t="s">
        <v>79</v>
      </c>
      <c r="H5" s="15">
        <v>8160823</v>
      </c>
      <c r="I5" s="14">
        <v>4487209</v>
      </c>
      <c r="J5" s="16" t="s">
        <v>80</v>
      </c>
    </row>
    <row r="6" spans="1:10" ht="14" x14ac:dyDescent="0.3">
      <c r="A6" s="14">
        <v>5</v>
      </c>
      <c r="B6" s="14" t="s">
        <v>14</v>
      </c>
      <c r="C6" s="14">
        <v>58121</v>
      </c>
      <c r="D6" s="14" t="s">
        <v>71</v>
      </c>
      <c r="E6" s="14" t="s">
        <v>81</v>
      </c>
      <c r="F6" s="14" t="s">
        <v>82</v>
      </c>
      <c r="G6" s="14" t="s">
        <v>83</v>
      </c>
      <c r="H6" s="15">
        <v>2485688</v>
      </c>
      <c r="I6" s="14">
        <v>4613547</v>
      </c>
      <c r="J6" s="16" t="s">
        <v>84</v>
      </c>
    </row>
    <row r="7" spans="1:10" ht="14" x14ac:dyDescent="0.3">
      <c r="A7" s="14">
        <v>6</v>
      </c>
      <c r="B7" s="14" t="s">
        <v>15</v>
      </c>
      <c r="C7" s="14">
        <v>67085</v>
      </c>
      <c r="D7" s="14" t="s">
        <v>85</v>
      </c>
      <c r="E7" s="14" t="s">
        <v>86</v>
      </c>
      <c r="F7" s="14" t="s">
        <v>87</v>
      </c>
      <c r="G7" s="14" t="s">
        <v>88</v>
      </c>
      <c r="H7" s="15">
        <v>1157143</v>
      </c>
      <c r="I7" s="14">
        <v>4113295</v>
      </c>
      <c r="J7" s="16" t="s">
        <v>89</v>
      </c>
    </row>
    <row r="8" spans="1:10" ht="14" x14ac:dyDescent="0.3">
      <c r="A8" s="14">
        <v>7</v>
      </c>
      <c r="B8" s="14" t="s">
        <v>16</v>
      </c>
      <c r="C8" s="14">
        <v>157001</v>
      </c>
      <c r="D8" s="14" t="s">
        <v>90</v>
      </c>
      <c r="E8" s="14" t="s">
        <v>91</v>
      </c>
      <c r="F8" s="14" t="s">
        <v>92</v>
      </c>
      <c r="G8" s="14" t="s">
        <v>93</v>
      </c>
      <c r="H8" s="15" t="s">
        <v>94</v>
      </c>
      <c r="I8" s="14">
        <v>4719674</v>
      </c>
      <c r="J8" s="16" t="s">
        <v>95</v>
      </c>
    </row>
    <row r="9" spans="1:10" ht="14" x14ac:dyDescent="0.3">
      <c r="A9" s="14">
        <v>8</v>
      </c>
      <c r="B9" s="14" t="s">
        <v>17</v>
      </c>
      <c r="C9" s="14">
        <v>72776</v>
      </c>
      <c r="D9" s="14" t="s">
        <v>96</v>
      </c>
      <c r="E9" s="14" t="s">
        <v>97</v>
      </c>
      <c r="F9" s="14" t="s">
        <v>98</v>
      </c>
      <c r="G9" s="14" t="s">
        <v>99</v>
      </c>
      <c r="H9" s="15" t="s">
        <v>100</v>
      </c>
      <c r="I9" s="14">
        <v>4458925</v>
      </c>
      <c r="J9" s="16" t="s">
        <v>101</v>
      </c>
    </row>
    <row r="10" spans="1:10" ht="14" x14ac:dyDescent="0.3">
      <c r="A10" s="14">
        <v>9</v>
      </c>
      <c r="B10" s="14" t="s">
        <v>18</v>
      </c>
      <c r="C10" s="14">
        <v>44925</v>
      </c>
      <c r="D10" s="14" t="s">
        <v>102</v>
      </c>
      <c r="E10" s="14" t="s">
        <v>103</v>
      </c>
      <c r="F10" s="14" t="s">
        <v>104</v>
      </c>
      <c r="G10" s="14">
        <v>21121</v>
      </c>
      <c r="H10" s="15">
        <v>6757857</v>
      </c>
      <c r="I10" s="14">
        <v>4764855</v>
      </c>
      <c r="J10" s="16" t="s">
        <v>105</v>
      </c>
    </row>
    <row r="11" spans="1:10" ht="14" x14ac:dyDescent="0.3">
      <c r="A11" s="14">
        <v>10</v>
      </c>
      <c r="B11" s="14" t="s">
        <v>19</v>
      </c>
      <c r="C11" s="14">
        <v>421</v>
      </c>
      <c r="D11" s="14" t="s">
        <v>106</v>
      </c>
      <c r="E11" s="14" t="s">
        <v>107</v>
      </c>
      <c r="F11" s="14" t="s">
        <v>108</v>
      </c>
      <c r="G11" s="14" t="s">
        <v>109</v>
      </c>
      <c r="H11" s="15">
        <v>0</v>
      </c>
      <c r="I11" s="14">
        <v>3118333</v>
      </c>
      <c r="J11" s="16" t="s">
        <v>110</v>
      </c>
    </row>
    <row r="12" spans="1:10" ht="14" x14ac:dyDescent="0.3">
      <c r="A12" s="14">
        <v>11</v>
      </c>
      <c r="B12" s="14" t="s">
        <v>20</v>
      </c>
      <c r="C12" s="14">
        <v>958</v>
      </c>
      <c r="D12" s="14" t="s">
        <v>111</v>
      </c>
      <c r="E12" s="14" t="s">
        <v>112</v>
      </c>
      <c r="F12" s="14" t="s">
        <v>113</v>
      </c>
      <c r="G12" s="14">
        <v>9180</v>
      </c>
      <c r="H12" s="15">
        <v>0</v>
      </c>
      <c r="I12" s="14">
        <v>1339917</v>
      </c>
      <c r="J12" s="16" t="s">
        <v>114</v>
      </c>
    </row>
    <row r="13" spans="1:10" ht="14" x14ac:dyDescent="0.3">
      <c r="A13" s="14">
        <v>12</v>
      </c>
      <c r="B13" s="14" t="s">
        <v>21</v>
      </c>
      <c r="C13" s="14">
        <v>1327</v>
      </c>
      <c r="D13" s="14" t="s">
        <v>115</v>
      </c>
      <c r="E13" s="14" t="s">
        <v>116</v>
      </c>
      <c r="F13" s="14" t="s">
        <v>117</v>
      </c>
      <c r="G13" s="14" t="s">
        <v>118</v>
      </c>
      <c r="H13" s="15">
        <v>0</v>
      </c>
      <c r="I13" s="14">
        <v>0</v>
      </c>
      <c r="J13" s="16" t="s">
        <v>119</v>
      </c>
    </row>
    <row r="14" spans="1:10" ht="14" x14ac:dyDescent="0.3">
      <c r="A14" s="14">
        <v>13</v>
      </c>
      <c r="B14" s="14" t="s">
        <v>22</v>
      </c>
      <c r="C14" s="14">
        <v>2436</v>
      </c>
      <c r="D14" s="14" t="s">
        <v>120</v>
      </c>
      <c r="E14" s="14" t="s">
        <v>121</v>
      </c>
      <c r="F14" s="14" t="s">
        <v>122</v>
      </c>
      <c r="G14" s="14" t="s">
        <v>123</v>
      </c>
      <c r="H14" s="15">
        <v>0</v>
      </c>
      <c r="I14" s="14">
        <v>0</v>
      </c>
      <c r="J14" s="16" t="s">
        <v>124</v>
      </c>
    </row>
    <row r="15" spans="1:10" ht="14" x14ac:dyDescent="0.3">
      <c r="A15" s="14">
        <v>14</v>
      </c>
      <c r="B15" s="14" t="s">
        <v>23</v>
      </c>
      <c r="C15" s="14">
        <v>2059</v>
      </c>
      <c r="D15" s="14" t="s">
        <v>125</v>
      </c>
      <c r="E15" s="14" t="s">
        <v>126</v>
      </c>
      <c r="F15" s="14" t="s">
        <v>127</v>
      </c>
      <c r="G15" s="14" t="s">
        <v>128</v>
      </c>
      <c r="H15" s="15">
        <v>0</v>
      </c>
      <c r="I15" s="14">
        <v>5464833</v>
      </c>
      <c r="J15" s="16" t="s">
        <v>129</v>
      </c>
    </row>
    <row r="16" spans="1:10" ht="14" x14ac:dyDescent="0.3">
      <c r="A16" s="14">
        <v>15</v>
      </c>
      <c r="B16" s="14" t="s">
        <v>24</v>
      </c>
      <c r="C16" s="14">
        <v>783</v>
      </c>
      <c r="D16" s="14" t="s">
        <v>130</v>
      </c>
      <c r="E16" s="14" t="s">
        <v>131</v>
      </c>
      <c r="F16" s="14">
        <v>0</v>
      </c>
      <c r="G16" s="14">
        <v>2250</v>
      </c>
      <c r="H16" s="15">
        <v>0</v>
      </c>
      <c r="I16" s="14">
        <v>0</v>
      </c>
      <c r="J16" s="16" t="s">
        <v>132</v>
      </c>
    </row>
    <row r="17" spans="1:10" ht="14" x14ac:dyDescent="0.3">
      <c r="A17" s="14">
        <v>16</v>
      </c>
      <c r="B17" s="14" t="s">
        <v>25</v>
      </c>
      <c r="C17" s="14">
        <v>2154</v>
      </c>
      <c r="D17" s="14" t="s">
        <v>133</v>
      </c>
      <c r="E17" s="14" t="s">
        <v>134</v>
      </c>
      <c r="F17" s="14" t="s">
        <v>135</v>
      </c>
      <c r="G17" s="14">
        <v>7333333</v>
      </c>
      <c r="H17" s="15">
        <v>0</v>
      </c>
      <c r="I17" s="14">
        <v>0</v>
      </c>
      <c r="J17" s="16" t="s">
        <v>136</v>
      </c>
    </row>
    <row r="18" spans="1:10" ht="14" x14ac:dyDescent="0.3">
      <c r="A18" s="14">
        <v>17</v>
      </c>
      <c r="B18" s="14" t="s">
        <v>26</v>
      </c>
      <c r="C18" s="14">
        <v>1662</v>
      </c>
      <c r="D18" s="14" t="s">
        <v>96</v>
      </c>
      <c r="E18" s="14" t="s">
        <v>137</v>
      </c>
      <c r="F18" s="14" t="s">
        <v>138</v>
      </c>
      <c r="G18" s="14">
        <v>4912417</v>
      </c>
      <c r="H18" s="15">
        <v>5416667</v>
      </c>
      <c r="I18" s="14">
        <v>3378667</v>
      </c>
      <c r="J18" s="16" t="s">
        <v>139</v>
      </c>
    </row>
    <row r="19" spans="1:10" ht="14" x14ac:dyDescent="0.3">
      <c r="A19" s="14">
        <v>18</v>
      </c>
      <c r="B19" s="14" t="s">
        <v>27</v>
      </c>
      <c r="C19" s="14">
        <v>1046</v>
      </c>
      <c r="D19" s="14" t="s">
        <v>140</v>
      </c>
      <c r="E19" s="14" t="s">
        <v>141</v>
      </c>
      <c r="F19" s="14" t="s">
        <v>142</v>
      </c>
      <c r="G19" s="14">
        <v>8799917</v>
      </c>
      <c r="H19" s="15">
        <v>2755583</v>
      </c>
      <c r="I19" s="14">
        <v>3734167</v>
      </c>
      <c r="J19" s="16" t="s">
        <v>143</v>
      </c>
    </row>
    <row r="20" spans="1:10" ht="14" x14ac:dyDescent="0.3">
      <c r="A20" s="14">
        <v>19</v>
      </c>
      <c r="B20" s="14" t="s">
        <v>28</v>
      </c>
      <c r="C20" s="14">
        <v>144796</v>
      </c>
      <c r="D20" s="14" t="s">
        <v>85</v>
      </c>
      <c r="E20" s="14" t="s">
        <v>144</v>
      </c>
      <c r="F20" s="14" t="s">
        <v>145</v>
      </c>
      <c r="G20" s="14" t="s">
        <v>146</v>
      </c>
      <c r="H20" s="15">
        <v>7769921</v>
      </c>
      <c r="I20" s="14">
        <v>4511568</v>
      </c>
      <c r="J20" s="16" t="s">
        <v>147</v>
      </c>
    </row>
    <row r="21" spans="1:10" ht="14" x14ac:dyDescent="0.3">
      <c r="A21" s="14">
        <v>20</v>
      </c>
      <c r="B21" s="14" t="s">
        <v>29</v>
      </c>
      <c r="C21" s="14">
        <v>74700</v>
      </c>
      <c r="D21" s="14" t="s">
        <v>148</v>
      </c>
      <c r="E21" s="14" t="s">
        <v>149</v>
      </c>
      <c r="F21" s="14" t="s">
        <v>150</v>
      </c>
      <c r="G21" s="14" t="s">
        <v>151</v>
      </c>
      <c r="H21" s="15" t="s">
        <v>152</v>
      </c>
      <c r="I21" s="14" t="s">
        <v>153</v>
      </c>
      <c r="J21" s="16" t="s">
        <v>154</v>
      </c>
    </row>
    <row r="22" spans="1:10" ht="14" x14ac:dyDescent="0.3">
      <c r="A22" s="14">
        <v>21</v>
      </c>
      <c r="B22" s="14" t="s">
        <v>30</v>
      </c>
      <c r="C22" s="14">
        <v>83429</v>
      </c>
      <c r="D22" s="14" t="s">
        <v>155</v>
      </c>
      <c r="E22" s="14" t="s">
        <v>156</v>
      </c>
      <c r="F22" s="14" t="s">
        <v>157</v>
      </c>
      <c r="G22" s="14" t="s">
        <v>158</v>
      </c>
      <c r="H22" s="15" t="s">
        <v>159</v>
      </c>
      <c r="I22" s="14">
        <v>4561927</v>
      </c>
      <c r="J22" s="16" t="s">
        <v>160</v>
      </c>
    </row>
    <row r="23" spans="1:10" ht="14" x14ac:dyDescent="0.3">
      <c r="A23" s="14">
        <v>22</v>
      </c>
      <c r="B23" s="14" t="s">
        <v>31</v>
      </c>
      <c r="C23" s="14">
        <v>54461</v>
      </c>
      <c r="D23" s="14" t="s">
        <v>161</v>
      </c>
      <c r="E23" s="14" t="s">
        <v>162</v>
      </c>
      <c r="F23" s="14" t="s">
        <v>163</v>
      </c>
      <c r="G23" s="14" t="s">
        <v>164</v>
      </c>
      <c r="H23" s="15">
        <v>5321053</v>
      </c>
      <c r="I23" s="14">
        <v>4734387</v>
      </c>
      <c r="J23" s="16" t="s">
        <v>165</v>
      </c>
    </row>
    <row r="24" spans="1:10" ht="14" x14ac:dyDescent="0.3">
      <c r="A24" s="14">
        <v>23</v>
      </c>
      <c r="B24" s="14" t="s">
        <v>32</v>
      </c>
      <c r="C24" s="14">
        <v>74455</v>
      </c>
      <c r="D24" s="14" t="s">
        <v>106</v>
      </c>
      <c r="E24" s="14">
        <v>322623</v>
      </c>
      <c r="F24" s="14" t="s">
        <v>166</v>
      </c>
      <c r="G24" s="14" t="s">
        <v>167</v>
      </c>
      <c r="H24" s="15">
        <v>8171897</v>
      </c>
      <c r="I24" s="14">
        <v>4878535</v>
      </c>
      <c r="J24" s="16" t="s">
        <v>168</v>
      </c>
    </row>
    <row r="25" spans="1:10" ht="14" x14ac:dyDescent="0.3">
      <c r="A25" s="14">
        <v>24</v>
      </c>
      <c r="B25" s="14" t="s">
        <v>33</v>
      </c>
      <c r="C25" s="14">
        <v>52080</v>
      </c>
      <c r="D25" s="14" t="s">
        <v>169</v>
      </c>
      <c r="E25" s="14" t="s">
        <v>170</v>
      </c>
      <c r="F25" s="14" t="s">
        <v>171</v>
      </c>
      <c r="G25" s="14" t="s">
        <v>172</v>
      </c>
      <c r="H25" s="15">
        <v>5141609</v>
      </c>
      <c r="I25" s="14">
        <v>4528603</v>
      </c>
      <c r="J25" s="16" t="s">
        <v>173</v>
      </c>
    </row>
    <row r="26" spans="1:10" ht="14" x14ac:dyDescent="0.3">
      <c r="A26" s="14">
        <v>25</v>
      </c>
      <c r="B26" s="14" t="s">
        <v>34</v>
      </c>
      <c r="C26" s="14">
        <v>75823</v>
      </c>
      <c r="D26" s="14" t="s">
        <v>106</v>
      </c>
      <c r="E26" s="14" t="s">
        <v>174</v>
      </c>
      <c r="F26" s="14" t="s">
        <v>175</v>
      </c>
      <c r="G26" s="14" t="s">
        <v>176</v>
      </c>
      <c r="H26" s="15">
        <v>6982158</v>
      </c>
      <c r="I26" s="14">
        <v>4700056</v>
      </c>
      <c r="J26" s="16" t="s">
        <v>177</v>
      </c>
    </row>
    <row r="27" spans="1:10" ht="14" x14ac:dyDescent="0.3">
      <c r="A27" s="14">
        <v>26</v>
      </c>
      <c r="B27" s="14" t="s">
        <v>35</v>
      </c>
      <c r="C27" s="14">
        <v>137939</v>
      </c>
      <c r="D27" s="14" t="s">
        <v>178</v>
      </c>
      <c r="E27" s="14" t="s">
        <v>179</v>
      </c>
      <c r="F27" s="14" t="s">
        <v>180</v>
      </c>
      <c r="G27" s="14" t="s">
        <v>181</v>
      </c>
      <c r="H27" s="15" t="s">
        <v>182</v>
      </c>
      <c r="I27" s="14">
        <v>4291706</v>
      </c>
      <c r="J27" s="16" t="s">
        <v>183</v>
      </c>
    </row>
    <row r="28" spans="1:10" ht="14" x14ac:dyDescent="0.3">
      <c r="A28" s="14">
        <v>27</v>
      </c>
      <c r="B28" s="14" t="s">
        <v>36</v>
      </c>
      <c r="C28" s="14">
        <v>34627</v>
      </c>
      <c r="D28" s="14" t="s">
        <v>184</v>
      </c>
      <c r="E28" s="14" t="s">
        <v>185</v>
      </c>
      <c r="F28" s="14" t="s">
        <v>186</v>
      </c>
      <c r="G28" s="14" t="s">
        <v>187</v>
      </c>
      <c r="H28" s="15">
        <v>6972272</v>
      </c>
      <c r="I28" s="14">
        <v>4587247</v>
      </c>
      <c r="J28" s="16" t="s">
        <v>188</v>
      </c>
    </row>
    <row r="29" spans="1:10" ht="14" x14ac:dyDescent="0.3">
      <c r="A29" s="14">
        <v>28</v>
      </c>
      <c r="B29" s="14" t="s">
        <v>37</v>
      </c>
      <c r="C29" s="14">
        <v>32213</v>
      </c>
      <c r="D29" s="14" t="s">
        <v>189</v>
      </c>
      <c r="E29" s="14" t="s">
        <v>190</v>
      </c>
      <c r="F29" s="14" t="s">
        <v>191</v>
      </c>
      <c r="G29" s="14" t="s">
        <v>192</v>
      </c>
      <c r="H29" s="15">
        <v>6727604</v>
      </c>
      <c r="I29" s="14">
        <v>4998133</v>
      </c>
      <c r="J29" s="16" t="s">
        <v>193</v>
      </c>
    </row>
    <row r="30" spans="1:10" ht="14" x14ac:dyDescent="0.3">
      <c r="A30" s="14">
        <v>29</v>
      </c>
      <c r="B30" s="14" t="s">
        <v>38</v>
      </c>
      <c r="C30" s="14">
        <v>80732</v>
      </c>
      <c r="D30" s="14" t="s">
        <v>194</v>
      </c>
      <c r="E30" s="14">
        <v>300330</v>
      </c>
      <c r="F30" s="14" t="s">
        <v>195</v>
      </c>
      <c r="G30" s="14" t="s">
        <v>196</v>
      </c>
      <c r="H30" s="15">
        <v>2597688</v>
      </c>
      <c r="I30" s="14">
        <v>4695788</v>
      </c>
      <c r="J30" s="16" t="s">
        <v>197</v>
      </c>
    </row>
    <row r="31" spans="1:10" ht="14" x14ac:dyDescent="0.3">
      <c r="A31" s="14">
        <v>30</v>
      </c>
      <c r="B31" s="14" t="s">
        <v>39</v>
      </c>
      <c r="C31" s="14">
        <v>73042</v>
      </c>
      <c r="D31" s="14" t="s">
        <v>90</v>
      </c>
      <c r="E31" s="14" t="s">
        <v>198</v>
      </c>
      <c r="F31" s="14" t="s">
        <v>199</v>
      </c>
      <c r="G31" s="14" t="s">
        <v>200</v>
      </c>
      <c r="H31" s="15">
        <v>3574875</v>
      </c>
      <c r="I31" s="14">
        <v>4647465</v>
      </c>
      <c r="J31" s="16" t="s">
        <v>201</v>
      </c>
    </row>
    <row r="32" spans="1:10" ht="14" x14ac:dyDescent="0.3">
      <c r="A32" s="14">
        <v>31</v>
      </c>
      <c r="B32" s="14" t="s">
        <v>40</v>
      </c>
      <c r="C32" s="14">
        <v>52230</v>
      </c>
      <c r="D32" s="14" t="s">
        <v>76</v>
      </c>
      <c r="E32" s="14" t="s">
        <v>202</v>
      </c>
      <c r="F32" s="14" t="s">
        <v>203</v>
      </c>
      <c r="G32" s="14" t="s">
        <v>204</v>
      </c>
      <c r="H32" s="15">
        <v>4128059</v>
      </c>
      <c r="I32" s="14" t="s">
        <v>205</v>
      </c>
      <c r="J32" s="16" t="s">
        <v>206</v>
      </c>
    </row>
    <row r="33" spans="1:10" ht="14" x14ac:dyDescent="0.3">
      <c r="A33" s="14">
        <v>32</v>
      </c>
      <c r="B33" s="14" t="s">
        <v>41</v>
      </c>
      <c r="C33" s="14">
        <v>46882</v>
      </c>
      <c r="D33" s="14" t="s">
        <v>207</v>
      </c>
      <c r="E33" s="14" t="s">
        <v>208</v>
      </c>
      <c r="F33" s="14" t="s">
        <v>209</v>
      </c>
      <c r="G33" s="14" t="s">
        <v>210</v>
      </c>
      <c r="H33" s="15" t="s">
        <v>211</v>
      </c>
      <c r="I33" s="14">
        <v>5029488</v>
      </c>
      <c r="J33" s="16">
        <v>1907</v>
      </c>
    </row>
    <row r="34" spans="1:10" ht="14" x14ac:dyDescent="0.3">
      <c r="A34" s="14">
        <v>33</v>
      </c>
      <c r="B34" s="14" t="s">
        <v>42</v>
      </c>
      <c r="C34" s="14">
        <v>26471</v>
      </c>
      <c r="D34" s="14" t="s">
        <v>189</v>
      </c>
      <c r="E34" s="14" t="s">
        <v>212</v>
      </c>
      <c r="F34" s="14" t="s">
        <v>213</v>
      </c>
      <c r="G34" s="14" t="s">
        <v>214</v>
      </c>
      <c r="H34" s="15">
        <v>5716333</v>
      </c>
      <c r="I34" s="14">
        <v>3910954</v>
      </c>
      <c r="J34" s="16" t="s">
        <v>215</v>
      </c>
    </row>
    <row r="35" spans="1:10" ht="14" x14ac:dyDescent="0.3">
      <c r="A35" s="14">
        <v>34</v>
      </c>
      <c r="B35" s="14" t="s">
        <v>43</v>
      </c>
      <c r="C35" s="14">
        <v>45281</v>
      </c>
      <c r="D35" s="14" t="s">
        <v>216</v>
      </c>
      <c r="E35" s="14" t="s">
        <v>217</v>
      </c>
      <c r="F35" s="14" t="s">
        <v>218</v>
      </c>
      <c r="G35" s="14" t="s">
        <v>219</v>
      </c>
      <c r="H35" s="15">
        <v>0</v>
      </c>
      <c r="I35" s="14">
        <v>4640419</v>
      </c>
      <c r="J35" s="16" t="s">
        <v>220</v>
      </c>
    </row>
    <row r="36" spans="1:10" ht="14" x14ac:dyDescent="0.3">
      <c r="A36" s="14">
        <v>35</v>
      </c>
      <c r="B36" s="14" t="s">
        <v>44</v>
      </c>
      <c r="C36" s="14">
        <v>30333</v>
      </c>
      <c r="D36" s="14" t="s">
        <v>102</v>
      </c>
      <c r="E36" s="14" t="s">
        <v>221</v>
      </c>
      <c r="F36" s="14" t="s">
        <v>222</v>
      </c>
      <c r="G36" s="14">
        <v>9958682</v>
      </c>
      <c r="H36" s="15" t="s">
        <v>223</v>
      </c>
      <c r="I36" s="14">
        <v>4542188</v>
      </c>
      <c r="J36" s="16" t="s">
        <v>224</v>
      </c>
    </row>
    <row r="37" spans="1:10" ht="14" x14ac:dyDescent="0.3">
      <c r="A37" s="14">
        <v>36</v>
      </c>
      <c r="B37" s="14" t="s">
        <v>45</v>
      </c>
      <c r="C37" s="14">
        <v>25790</v>
      </c>
      <c r="D37" s="14" t="s">
        <v>102</v>
      </c>
      <c r="E37" s="14" t="s">
        <v>225</v>
      </c>
      <c r="F37" s="14" t="s">
        <v>226</v>
      </c>
      <c r="G37" s="14" t="s">
        <v>227</v>
      </c>
      <c r="H37" s="15">
        <v>8425073</v>
      </c>
      <c r="I37" s="14">
        <v>4619459</v>
      </c>
      <c r="J37" s="16" t="s">
        <v>228</v>
      </c>
    </row>
    <row r="38" spans="1:10" ht="14" x14ac:dyDescent="0.3">
      <c r="A38" s="14">
        <v>37</v>
      </c>
      <c r="B38" s="14" t="s">
        <v>46</v>
      </c>
      <c r="C38" s="14">
        <v>98914</v>
      </c>
      <c r="D38" s="14" t="s">
        <v>229</v>
      </c>
      <c r="E38" s="14" t="s">
        <v>230</v>
      </c>
      <c r="F38" s="14" t="s">
        <v>231</v>
      </c>
      <c r="G38" s="14" t="s">
        <v>232</v>
      </c>
      <c r="H38" s="15">
        <v>7854977</v>
      </c>
      <c r="I38" s="14">
        <v>4705251</v>
      </c>
      <c r="J38" s="16" t="s">
        <v>233</v>
      </c>
    </row>
    <row r="39" spans="1:10" ht="14" x14ac:dyDescent="0.3">
      <c r="A39" s="14">
        <v>38</v>
      </c>
      <c r="B39" s="14" t="s">
        <v>47</v>
      </c>
      <c r="C39" s="14">
        <v>41451</v>
      </c>
      <c r="D39" s="14" t="s">
        <v>85</v>
      </c>
      <c r="E39" s="14" t="s">
        <v>234</v>
      </c>
      <c r="F39" s="14" t="s">
        <v>235</v>
      </c>
      <c r="G39" s="14" t="s">
        <v>236</v>
      </c>
      <c r="H39" s="15">
        <v>0</v>
      </c>
      <c r="I39" s="14">
        <v>4845947</v>
      </c>
      <c r="J39" s="16" t="s">
        <v>237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3B40-4AD0-40BA-9AD7-80D08161D356}">
  <dimension ref="B1:L39"/>
  <sheetViews>
    <sheetView topLeftCell="B1" workbookViewId="0">
      <selection activeCell="J2" sqref="J2:L39"/>
    </sheetView>
  </sheetViews>
  <sheetFormatPr defaultRowHeight="12.5" x14ac:dyDescent="0.25"/>
  <cols>
    <col min="2" max="2" width="51.6328125" bestFit="1" customWidth="1"/>
    <col min="3" max="3" width="31.81640625" bestFit="1" customWidth="1"/>
    <col min="4" max="4" width="19.1796875" bestFit="1" customWidth="1"/>
    <col min="5" max="5" width="12.1796875" bestFit="1" customWidth="1"/>
    <col min="6" max="6" width="29.453125" bestFit="1" customWidth="1"/>
    <col min="7" max="7" width="37.453125" bestFit="1" customWidth="1"/>
    <col min="8" max="8" width="30.36328125" bestFit="1" customWidth="1"/>
  </cols>
  <sheetData>
    <row r="1" spans="2:12" ht="14" x14ac:dyDescent="0.3">
      <c r="B1" s="11" t="s">
        <v>2</v>
      </c>
      <c r="C1" s="11" t="s">
        <v>59</v>
      </c>
      <c r="D1" s="11" t="s">
        <v>4</v>
      </c>
      <c r="E1" s="11" t="s">
        <v>5</v>
      </c>
      <c r="F1" s="12" t="s">
        <v>6</v>
      </c>
      <c r="G1" s="12" t="s">
        <v>60</v>
      </c>
      <c r="H1" s="12" t="s">
        <v>9</v>
      </c>
    </row>
    <row r="2" spans="2:12" x14ac:dyDescent="0.25">
      <c r="B2">
        <v>49214</v>
      </c>
      <c r="C2">
        <v>0.57999999999999996</v>
      </c>
      <c r="D2">
        <v>215098.2</v>
      </c>
      <c r="E2">
        <v>878.44</v>
      </c>
      <c r="F2">
        <v>21722.65</v>
      </c>
      <c r="G2">
        <v>5340014</v>
      </c>
      <c r="H2">
        <v>1963.99</v>
      </c>
      <c r="J2">
        <f>LN(F2)</f>
        <v>9.9861107739720616</v>
      </c>
      <c r="K2">
        <f t="shared" ref="K2" si="0">LN(G2)</f>
        <v>15.490738832655786</v>
      </c>
      <c r="L2">
        <f>LN(H2)</f>
        <v>7.5827333972517543</v>
      </c>
    </row>
    <row r="3" spans="2:12" x14ac:dyDescent="0.25">
      <c r="B3">
        <v>85051</v>
      </c>
      <c r="C3">
        <v>0.7</v>
      </c>
      <c r="D3">
        <v>525184.9</v>
      </c>
      <c r="E3">
        <v>1145.3499999999999</v>
      </c>
      <c r="F3">
        <v>21449.16</v>
      </c>
      <c r="G3">
        <v>4618797</v>
      </c>
      <c r="H3">
        <v>2156.29</v>
      </c>
      <c r="J3">
        <f t="shared" ref="J3:J39" si="1">LN(F3)</f>
        <v>9.9734407627501973</v>
      </c>
      <c r="K3">
        <f t="shared" ref="K3:K39" si="2">LN(G3)</f>
        <v>15.345644839540272</v>
      </c>
      <c r="L3">
        <f t="shared" ref="L3:L39" si="3">LN(H3)</f>
        <v>7.6761444313322453</v>
      </c>
    </row>
    <row r="4" spans="2:12" x14ac:dyDescent="0.25">
      <c r="B4">
        <v>46911</v>
      </c>
      <c r="C4">
        <v>0.6</v>
      </c>
      <c r="D4">
        <v>277420.79999999999</v>
      </c>
      <c r="E4">
        <v>1223.45</v>
      </c>
      <c r="F4">
        <v>20576.48</v>
      </c>
      <c r="G4">
        <v>4817858</v>
      </c>
      <c r="H4">
        <v>1905.18</v>
      </c>
      <c r="J4">
        <f t="shared" si="1"/>
        <v>9.9319039549145494</v>
      </c>
      <c r="K4">
        <f t="shared" si="2"/>
        <v>15.387839988912328</v>
      </c>
      <c r="L4">
        <f t="shared" si="3"/>
        <v>7.5523317712860498</v>
      </c>
    </row>
    <row r="5" spans="2:12" x14ac:dyDescent="0.25">
      <c r="B5">
        <v>112791</v>
      </c>
      <c r="C5">
        <v>0.59</v>
      </c>
      <c r="D5">
        <v>815274.1</v>
      </c>
      <c r="E5">
        <v>1078.46</v>
      </c>
      <c r="F5">
        <v>20406.68</v>
      </c>
      <c r="G5">
        <v>4487209</v>
      </c>
      <c r="H5">
        <v>1941.68</v>
      </c>
      <c r="J5">
        <f t="shared" si="1"/>
        <v>9.9236175772123278</v>
      </c>
      <c r="K5">
        <f t="shared" si="2"/>
        <v>15.316741462879369</v>
      </c>
      <c r="L5">
        <f t="shared" si="3"/>
        <v>7.571308856695004</v>
      </c>
    </row>
    <row r="6" spans="2:12" x14ac:dyDescent="0.25">
      <c r="B6">
        <v>58121</v>
      </c>
      <c r="C6">
        <v>0.6</v>
      </c>
      <c r="D6">
        <v>286144.90000000002</v>
      </c>
      <c r="E6">
        <v>1138.3800000000001</v>
      </c>
      <c r="F6">
        <v>21972.47</v>
      </c>
      <c r="G6">
        <v>4613547</v>
      </c>
      <c r="H6">
        <v>1875.85</v>
      </c>
      <c r="J6">
        <f t="shared" si="1"/>
        <v>9.9975455850948265</v>
      </c>
      <c r="K6">
        <f t="shared" si="2"/>
        <v>15.344507533442082</v>
      </c>
      <c r="L6">
        <f t="shared" si="3"/>
        <v>7.5368171690133332</v>
      </c>
    </row>
    <row r="7" spans="2:12" x14ac:dyDescent="0.25">
      <c r="B7">
        <v>67085</v>
      </c>
      <c r="C7">
        <v>0.65</v>
      </c>
      <c r="D7">
        <v>482063.4</v>
      </c>
      <c r="E7">
        <v>1056.95</v>
      </c>
      <c r="F7">
        <v>20709.919999999998</v>
      </c>
      <c r="G7">
        <v>4113295</v>
      </c>
      <c r="H7">
        <v>2159.6799999999998</v>
      </c>
      <c r="J7">
        <f t="shared" si="1"/>
        <v>9.9383680915139898</v>
      </c>
      <c r="K7">
        <f t="shared" si="2"/>
        <v>15.229734968443109</v>
      </c>
      <c r="L7">
        <f t="shared" si="3"/>
        <v>7.6777153415550412</v>
      </c>
    </row>
    <row r="8" spans="2:12" x14ac:dyDescent="0.25">
      <c r="B8">
        <v>157001</v>
      </c>
      <c r="C8">
        <v>0.55000000000000004</v>
      </c>
      <c r="D8">
        <v>712219.7</v>
      </c>
      <c r="E8">
        <v>1004.25</v>
      </c>
      <c r="F8">
        <v>21629.49</v>
      </c>
      <c r="G8">
        <v>4719674</v>
      </c>
      <c r="H8">
        <v>2046.45</v>
      </c>
      <c r="J8">
        <f t="shared" si="1"/>
        <v>9.9818129403057458</v>
      </c>
      <c r="K8">
        <f t="shared" si="2"/>
        <v>15.367250287379838</v>
      </c>
      <c r="L8">
        <f t="shared" si="3"/>
        <v>7.6238618636769928</v>
      </c>
    </row>
    <row r="9" spans="2:12" x14ac:dyDescent="0.25">
      <c r="B9">
        <v>72776</v>
      </c>
      <c r="C9">
        <v>0.41</v>
      </c>
      <c r="D9">
        <v>400583.4</v>
      </c>
      <c r="E9">
        <v>1101.98</v>
      </c>
      <c r="F9">
        <v>21150.9</v>
      </c>
      <c r="G9">
        <v>4458925</v>
      </c>
      <c r="H9">
        <v>1973.72</v>
      </c>
      <c r="J9">
        <f t="shared" si="1"/>
        <v>9.9594377367605524</v>
      </c>
      <c r="K9">
        <f t="shared" si="2"/>
        <v>15.310418263553379</v>
      </c>
      <c r="L9">
        <f t="shared" si="3"/>
        <v>7.5876753659609886</v>
      </c>
    </row>
    <row r="10" spans="2:12" x14ac:dyDescent="0.25">
      <c r="B10">
        <v>44925</v>
      </c>
      <c r="C10">
        <v>0.63</v>
      </c>
      <c r="D10">
        <v>211952.2</v>
      </c>
      <c r="E10">
        <v>1075.67</v>
      </c>
      <c r="F10">
        <v>21121</v>
      </c>
      <c r="G10">
        <v>4764855</v>
      </c>
      <c r="H10">
        <v>2136.06</v>
      </c>
      <c r="J10">
        <f t="shared" si="1"/>
        <v>9.9580230851841414</v>
      </c>
      <c r="K10">
        <f t="shared" si="2"/>
        <v>15.376777664387074</v>
      </c>
      <c r="L10">
        <f t="shared" si="3"/>
        <v>7.666718289573212</v>
      </c>
    </row>
    <row r="11" spans="2:12" x14ac:dyDescent="0.25">
      <c r="B11">
        <v>421</v>
      </c>
      <c r="C11">
        <v>0.64</v>
      </c>
      <c r="D11">
        <v>5615.74</v>
      </c>
      <c r="E11">
        <v>832.45</v>
      </c>
      <c r="F11">
        <v>14738.33</v>
      </c>
      <c r="G11">
        <v>3118333</v>
      </c>
      <c r="H11">
        <v>2009.98</v>
      </c>
      <c r="J11">
        <f t="shared" si="1"/>
        <v>9.5982068621741092</v>
      </c>
      <c r="K11">
        <f t="shared" si="2"/>
        <v>14.952809122127503</v>
      </c>
      <c r="L11">
        <f t="shared" si="3"/>
        <v>7.6058800507548607</v>
      </c>
    </row>
    <row r="12" spans="2:12" x14ac:dyDescent="0.25">
      <c r="B12">
        <v>958</v>
      </c>
      <c r="C12">
        <v>0.43</v>
      </c>
      <c r="D12">
        <v>6509.48</v>
      </c>
      <c r="E12">
        <v>1032.7</v>
      </c>
      <c r="F12">
        <v>9180</v>
      </c>
      <c r="G12">
        <v>1339917</v>
      </c>
      <c r="H12">
        <v>2117.7399999999998</v>
      </c>
      <c r="J12">
        <f t="shared" si="1"/>
        <v>9.1247824836145366</v>
      </c>
      <c r="K12">
        <f t="shared" si="2"/>
        <v>14.108118229710207</v>
      </c>
      <c r="L12">
        <f t="shared" si="3"/>
        <v>7.6581047613078308</v>
      </c>
    </row>
    <row r="13" spans="2:12" x14ac:dyDescent="0.25">
      <c r="B13">
        <v>1327</v>
      </c>
      <c r="C13">
        <v>0.77</v>
      </c>
      <c r="D13">
        <v>9552.36</v>
      </c>
      <c r="E13">
        <v>938.06</v>
      </c>
      <c r="F13">
        <v>726.75</v>
      </c>
      <c r="G13">
        <v>3908860.15</v>
      </c>
      <c r="H13">
        <v>1984.12</v>
      </c>
      <c r="J13">
        <f t="shared" si="1"/>
        <v>6.5885825394389856</v>
      </c>
      <c r="K13">
        <f t="shared" si="2"/>
        <v>15.178756367721697</v>
      </c>
      <c r="L13">
        <f t="shared" si="3"/>
        <v>7.5929307698867099</v>
      </c>
    </row>
    <row r="14" spans="2:12" x14ac:dyDescent="0.25">
      <c r="B14">
        <v>2436</v>
      </c>
      <c r="C14">
        <v>0.46</v>
      </c>
      <c r="D14">
        <v>14053.94</v>
      </c>
      <c r="E14">
        <v>1070.81</v>
      </c>
      <c r="F14">
        <v>13999.33</v>
      </c>
      <c r="G14">
        <v>3831758.04</v>
      </c>
      <c r="H14">
        <v>2237.37</v>
      </c>
      <c r="J14">
        <f t="shared" si="1"/>
        <v>9.5467647503093485</v>
      </c>
      <c r="K14">
        <f t="shared" si="2"/>
        <v>15.158834274116929</v>
      </c>
      <c r="L14">
        <f t="shared" si="3"/>
        <v>7.7130563479024481</v>
      </c>
    </row>
    <row r="15" spans="2:12" x14ac:dyDescent="0.25">
      <c r="B15">
        <v>2059</v>
      </c>
      <c r="C15">
        <v>0.61</v>
      </c>
      <c r="D15">
        <v>11916.32</v>
      </c>
      <c r="E15">
        <v>1334.65</v>
      </c>
      <c r="F15">
        <v>21767.08</v>
      </c>
      <c r="G15">
        <v>5464833</v>
      </c>
      <c r="H15">
        <v>2365.37</v>
      </c>
      <c r="J15">
        <f t="shared" si="1"/>
        <v>9.9881540156963631</v>
      </c>
      <c r="K15">
        <f t="shared" si="2"/>
        <v>15.513844121028887</v>
      </c>
      <c r="L15">
        <f t="shared" si="3"/>
        <v>7.7686897368922496</v>
      </c>
    </row>
    <row r="16" spans="2:12" x14ac:dyDescent="0.25">
      <c r="B16">
        <v>783</v>
      </c>
      <c r="C16">
        <v>0.42</v>
      </c>
      <c r="D16">
        <v>3802.62</v>
      </c>
      <c r="E16">
        <v>1017.61</v>
      </c>
      <c r="F16">
        <v>2250</v>
      </c>
      <c r="G16">
        <v>3740539.11</v>
      </c>
      <c r="H16">
        <v>2070.0100000000002</v>
      </c>
      <c r="J16">
        <f t="shared" si="1"/>
        <v>7.718685495198466</v>
      </c>
      <c r="K16">
        <f t="shared" si="2"/>
        <v>15.134740306061349</v>
      </c>
      <c r="L16">
        <f t="shared" si="3"/>
        <v>7.6353087171656204</v>
      </c>
    </row>
    <row r="17" spans="2:12" x14ac:dyDescent="0.25">
      <c r="B17">
        <v>2154</v>
      </c>
      <c r="C17">
        <v>0.48</v>
      </c>
      <c r="D17">
        <v>9261.8799999999992</v>
      </c>
      <c r="E17">
        <v>752.5</v>
      </c>
      <c r="F17">
        <v>7333333</v>
      </c>
      <c r="G17">
        <v>3759862.66</v>
      </c>
      <c r="H17">
        <v>2042.9</v>
      </c>
      <c r="J17">
        <f t="shared" si="1"/>
        <v>15.807940677199934</v>
      </c>
      <c r="K17">
        <f t="shared" si="2"/>
        <v>15.13989298810322</v>
      </c>
      <c r="L17">
        <f t="shared" si="3"/>
        <v>7.6221256459936075</v>
      </c>
    </row>
    <row r="18" spans="2:12" x14ac:dyDescent="0.25">
      <c r="B18">
        <v>1662</v>
      </c>
      <c r="C18">
        <v>0.41</v>
      </c>
      <c r="D18">
        <v>8663.7000000000007</v>
      </c>
      <c r="E18">
        <v>813.97</v>
      </c>
      <c r="F18">
        <v>4912417</v>
      </c>
      <c r="G18">
        <v>3378667</v>
      </c>
      <c r="H18">
        <v>2011.75</v>
      </c>
      <c r="J18">
        <f t="shared" si="1"/>
        <v>15.407276639342619</v>
      </c>
      <c r="K18">
        <f t="shared" si="2"/>
        <v>15.032991810973245</v>
      </c>
      <c r="L18">
        <f t="shared" si="3"/>
        <v>7.6067602690262426</v>
      </c>
    </row>
    <row r="19" spans="2:12" x14ac:dyDescent="0.25">
      <c r="B19">
        <v>1046</v>
      </c>
      <c r="C19">
        <v>0.56000000000000005</v>
      </c>
      <c r="D19">
        <v>9318.26</v>
      </c>
      <c r="E19">
        <v>1075.79</v>
      </c>
      <c r="F19">
        <v>8799917</v>
      </c>
      <c r="G19">
        <v>3734167</v>
      </c>
      <c r="H19">
        <v>1967.26</v>
      </c>
      <c r="J19">
        <f t="shared" si="1"/>
        <v>15.990252847585774</v>
      </c>
      <c r="K19">
        <f t="shared" si="2"/>
        <v>15.13303532624011</v>
      </c>
      <c r="L19">
        <f t="shared" si="3"/>
        <v>7.5843969906401956</v>
      </c>
    </row>
    <row r="20" spans="2:12" x14ac:dyDescent="0.25">
      <c r="B20">
        <v>144796</v>
      </c>
      <c r="C20">
        <v>0.65</v>
      </c>
      <c r="D20">
        <v>922376.6</v>
      </c>
      <c r="E20">
        <v>1059.08</v>
      </c>
      <c r="F20">
        <v>20080.009999999998</v>
      </c>
      <c r="G20">
        <v>4511568</v>
      </c>
      <c r="H20">
        <v>1826.37</v>
      </c>
      <c r="J20">
        <f t="shared" si="1"/>
        <v>9.9074800718135094</v>
      </c>
      <c r="K20">
        <f t="shared" si="2"/>
        <v>15.322155322895366</v>
      </c>
      <c r="L20">
        <f t="shared" si="3"/>
        <v>7.5100856693250968</v>
      </c>
    </row>
    <row r="21" spans="2:12" x14ac:dyDescent="0.25">
      <c r="B21">
        <v>74700</v>
      </c>
      <c r="C21">
        <v>0.78</v>
      </c>
      <c r="D21">
        <v>356436.9</v>
      </c>
      <c r="E21">
        <v>1168.47</v>
      </c>
      <c r="F21">
        <v>21881.97</v>
      </c>
      <c r="G21">
        <v>4820.34</v>
      </c>
      <c r="H21">
        <v>2121.5100000000002</v>
      </c>
      <c r="J21">
        <f t="shared" si="1"/>
        <v>9.9934182890459411</v>
      </c>
      <c r="K21">
        <f t="shared" si="2"/>
        <v>8.4805997439759455</v>
      </c>
      <c r="L21">
        <f t="shared" si="3"/>
        <v>7.6598833782772759</v>
      </c>
    </row>
    <row r="22" spans="2:12" x14ac:dyDescent="0.25">
      <c r="B22">
        <v>83429</v>
      </c>
      <c r="C22">
        <v>0.35</v>
      </c>
      <c r="D22">
        <v>505350.1</v>
      </c>
      <c r="E22">
        <v>1040.6300000000001</v>
      </c>
      <c r="F22">
        <v>20070.87</v>
      </c>
      <c r="G22">
        <v>4561927</v>
      </c>
      <c r="H22">
        <v>1895.65</v>
      </c>
      <c r="J22">
        <f t="shared" si="1"/>
        <v>9.9070247891318903</v>
      </c>
      <c r="K22">
        <f t="shared" si="2"/>
        <v>15.333255679944823</v>
      </c>
      <c r="L22">
        <f t="shared" si="3"/>
        <v>7.5473170666183274</v>
      </c>
    </row>
    <row r="23" spans="2:12" x14ac:dyDescent="0.25">
      <c r="B23">
        <v>54461</v>
      </c>
      <c r="C23">
        <v>0.66</v>
      </c>
      <c r="D23">
        <v>324039.09999999998</v>
      </c>
      <c r="E23">
        <v>998.07</v>
      </c>
      <c r="F23">
        <v>18110.22</v>
      </c>
      <c r="G23">
        <v>4734387</v>
      </c>
      <c r="H23">
        <v>2126.13</v>
      </c>
      <c r="J23">
        <f t="shared" si="1"/>
        <v>9.8042316987882128</v>
      </c>
      <c r="K23">
        <f t="shared" si="2"/>
        <v>15.370362814764224</v>
      </c>
      <c r="L23">
        <f t="shared" si="3"/>
        <v>7.6620587047276514</v>
      </c>
    </row>
    <row r="24" spans="2:12" x14ac:dyDescent="0.25">
      <c r="B24">
        <v>74455</v>
      </c>
      <c r="C24">
        <v>0.64</v>
      </c>
      <c r="D24">
        <v>322623</v>
      </c>
      <c r="E24">
        <v>1240.77</v>
      </c>
      <c r="F24">
        <v>21465.53</v>
      </c>
      <c r="G24">
        <v>4878535</v>
      </c>
      <c r="H24">
        <v>2056.91</v>
      </c>
      <c r="J24">
        <f t="shared" si="1"/>
        <v>9.9742036717118587</v>
      </c>
      <c r="K24">
        <f t="shared" si="2"/>
        <v>15.40035552784078</v>
      </c>
      <c r="L24">
        <f t="shared" si="3"/>
        <v>7.6289601356573593</v>
      </c>
    </row>
    <row r="25" spans="2:12" x14ac:dyDescent="0.25">
      <c r="B25">
        <v>52080</v>
      </c>
      <c r="C25">
        <v>0.76</v>
      </c>
      <c r="D25">
        <v>349790.4</v>
      </c>
      <c r="E25">
        <v>975.21</v>
      </c>
      <c r="F25">
        <v>21099.9</v>
      </c>
      <c r="G25">
        <v>4528603</v>
      </c>
      <c r="H25">
        <v>2134.46</v>
      </c>
      <c r="J25">
        <f t="shared" si="1"/>
        <v>9.9570235801164344</v>
      </c>
      <c r="K25">
        <f t="shared" si="2"/>
        <v>15.325924061376726</v>
      </c>
      <c r="L25">
        <f t="shared" si="3"/>
        <v>7.6659689662707269</v>
      </c>
    </row>
    <row r="26" spans="2:12" x14ac:dyDescent="0.25">
      <c r="B26">
        <v>75823</v>
      </c>
      <c r="C26">
        <v>0.64</v>
      </c>
      <c r="D26">
        <v>482834.3</v>
      </c>
      <c r="E26">
        <v>1108.1400000000001</v>
      </c>
      <c r="F26">
        <v>21068.99</v>
      </c>
      <c r="G26">
        <v>4700056</v>
      </c>
      <c r="H26">
        <v>1896.28</v>
      </c>
      <c r="J26">
        <f t="shared" si="1"/>
        <v>9.9555575701960439</v>
      </c>
      <c r="K26">
        <f t="shared" si="2"/>
        <v>15.363084981502922</v>
      </c>
      <c r="L26">
        <f t="shared" si="3"/>
        <v>7.5476493512363438</v>
      </c>
    </row>
    <row r="27" spans="2:12" x14ac:dyDescent="0.25">
      <c r="B27">
        <v>137939</v>
      </c>
      <c r="C27">
        <v>0.5</v>
      </c>
      <c r="D27">
        <v>890672.2</v>
      </c>
      <c r="E27">
        <v>962.61</v>
      </c>
      <c r="F27">
        <v>21267.11</v>
      </c>
      <c r="G27">
        <v>4291706</v>
      </c>
      <c r="H27">
        <v>2132.1999999999998</v>
      </c>
      <c r="J27">
        <f t="shared" si="1"/>
        <v>9.9649170268424729</v>
      </c>
      <c r="K27">
        <f t="shared" si="2"/>
        <v>15.27219488085251</v>
      </c>
      <c r="L27">
        <f t="shared" si="3"/>
        <v>7.664909589516375</v>
      </c>
    </row>
    <row r="28" spans="2:12" x14ac:dyDescent="0.25">
      <c r="B28">
        <v>34627</v>
      </c>
      <c r="C28">
        <v>0.71</v>
      </c>
      <c r="D28">
        <v>107391.7</v>
      </c>
      <c r="E28">
        <v>1246.8399999999999</v>
      </c>
      <c r="F28">
        <v>21165.65</v>
      </c>
      <c r="G28">
        <v>4587247</v>
      </c>
      <c r="H28">
        <v>2048.9699999999998</v>
      </c>
      <c r="J28">
        <f t="shared" si="1"/>
        <v>9.9601348635630611</v>
      </c>
      <c r="K28">
        <f t="shared" si="2"/>
        <v>15.338790619960394</v>
      </c>
      <c r="L28">
        <f t="shared" si="3"/>
        <v>7.6250925068432815</v>
      </c>
    </row>
    <row r="29" spans="2:12" x14ac:dyDescent="0.25">
      <c r="B29">
        <v>32213</v>
      </c>
      <c r="C29">
        <v>0.79</v>
      </c>
      <c r="D29">
        <v>125280.7</v>
      </c>
      <c r="E29">
        <v>857.92</v>
      </c>
      <c r="F29">
        <v>20310.14</v>
      </c>
      <c r="G29">
        <v>4998133</v>
      </c>
      <c r="H29">
        <v>1997.53</v>
      </c>
      <c r="J29">
        <f t="shared" si="1"/>
        <v>9.9188755477067527</v>
      </c>
      <c r="K29">
        <f t="shared" si="2"/>
        <v>15.424575000667236</v>
      </c>
      <c r="L29">
        <f t="shared" si="3"/>
        <v>7.5996666963011155</v>
      </c>
    </row>
    <row r="30" spans="2:12" x14ac:dyDescent="0.25">
      <c r="B30">
        <v>80732</v>
      </c>
      <c r="C30">
        <v>0.74</v>
      </c>
      <c r="D30">
        <v>300330</v>
      </c>
      <c r="E30">
        <v>1238.56</v>
      </c>
      <c r="F30">
        <v>21459.39</v>
      </c>
      <c r="G30">
        <v>4695788</v>
      </c>
      <c r="H30">
        <v>2027.48</v>
      </c>
      <c r="J30">
        <f t="shared" si="1"/>
        <v>9.9739175908039908</v>
      </c>
      <c r="K30">
        <f t="shared" si="2"/>
        <v>15.362176494666924</v>
      </c>
      <c r="L30">
        <f t="shared" si="3"/>
        <v>7.614548921575933</v>
      </c>
    </row>
    <row r="31" spans="2:12" x14ac:dyDescent="0.25">
      <c r="B31">
        <v>73042</v>
      </c>
      <c r="C31">
        <v>0.55000000000000004</v>
      </c>
      <c r="D31">
        <v>453845.4</v>
      </c>
      <c r="E31">
        <v>1085.9000000000001</v>
      </c>
      <c r="F31">
        <v>21086.71</v>
      </c>
      <c r="G31">
        <v>4647465</v>
      </c>
      <c r="H31">
        <v>1855.3</v>
      </c>
      <c r="J31">
        <f t="shared" si="1"/>
        <v>9.9563982632004837</v>
      </c>
      <c r="K31">
        <f t="shared" si="2"/>
        <v>15.35183246761877</v>
      </c>
      <c r="L31">
        <f t="shared" si="3"/>
        <v>7.5258016870328319</v>
      </c>
    </row>
    <row r="32" spans="2:12" x14ac:dyDescent="0.25">
      <c r="B32">
        <v>52230</v>
      </c>
      <c r="C32">
        <v>0.59</v>
      </c>
      <c r="D32">
        <v>232174.1</v>
      </c>
      <c r="E32">
        <v>1118.24</v>
      </c>
      <c r="F32">
        <v>21600.26</v>
      </c>
      <c r="G32">
        <v>4738.09</v>
      </c>
      <c r="H32">
        <v>1970.92</v>
      </c>
      <c r="J32">
        <f t="shared" si="1"/>
        <v>9.9804606306368484</v>
      </c>
      <c r="K32">
        <f t="shared" si="2"/>
        <v>8.4633893798950126</v>
      </c>
      <c r="L32">
        <f t="shared" si="3"/>
        <v>7.5862557177952441</v>
      </c>
    </row>
    <row r="33" spans="2:12" x14ac:dyDescent="0.25">
      <c r="B33">
        <v>46882</v>
      </c>
      <c r="C33">
        <v>0.62</v>
      </c>
      <c r="D33">
        <v>193079.3</v>
      </c>
      <c r="E33">
        <v>1174.2</v>
      </c>
      <c r="F33">
        <v>18468.52</v>
      </c>
      <c r="G33">
        <v>5029488</v>
      </c>
      <c r="H33">
        <v>1907</v>
      </c>
      <c r="J33">
        <f t="shared" si="1"/>
        <v>9.8238229400422661</v>
      </c>
      <c r="K33">
        <f t="shared" si="2"/>
        <v>15.430828747630629</v>
      </c>
      <c r="L33">
        <f t="shared" si="3"/>
        <v>7.5532866056004186</v>
      </c>
    </row>
    <row r="34" spans="2:12" x14ac:dyDescent="0.25">
      <c r="B34">
        <v>26471</v>
      </c>
      <c r="C34">
        <v>0.79</v>
      </c>
      <c r="D34">
        <v>226181.6</v>
      </c>
      <c r="E34">
        <v>1200.78</v>
      </c>
      <c r="F34">
        <v>21104.87</v>
      </c>
      <c r="G34">
        <v>3910954</v>
      </c>
      <c r="H34">
        <v>2139.06</v>
      </c>
      <c r="J34">
        <f t="shared" si="1"/>
        <v>9.9572590985198275</v>
      </c>
      <c r="K34">
        <f t="shared" si="2"/>
        <v>15.179291891970706</v>
      </c>
      <c r="L34">
        <f t="shared" si="3"/>
        <v>7.6681217591798818</v>
      </c>
    </row>
    <row r="35" spans="2:12" x14ac:dyDescent="0.25">
      <c r="B35">
        <v>45281</v>
      </c>
      <c r="C35">
        <v>0.73</v>
      </c>
      <c r="D35">
        <v>181625.5</v>
      </c>
      <c r="E35">
        <v>962.57</v>
      </c>
      <c r="F35">
        <v>21708.84</v>
      </c>
      <c r="G35">
        <v>4640419</v>
      </c>
      <c r="H35">
        <v>2832.08</v>
      </c>
      <c r="J35">
        <f t="shared" si="1"/>
        <v>9.9854748298464777</v>
      </c>
      <c r="K35">
        <f t="shared" si="2"/>
        <v>15.350315221849621</v>
      </c>
      <c r="L35">
        <f t="shared" si="3"/>
        <v>7.9487667030021969</v>
      </c>
    </row>
    <row r="36" spans="2:12" x14ac:dyDescent="0.25">
      <c r="B36">
        <v>30333</v>
      </c>
      <c r="C36">
        <v>0.63</v>
      </c>
      <c r="D36">
        <v>251536.4</v>
      </c>
      <c r="E36">
        <v>1027.26</v>
      </c>
      <c r="F36">
        <v>9958682</v>
      </c>
      <c r="G36">
        <v>4542188</v>
      </c>
      <c r="H36">
        <v>1990.43</v>
      </c>
      <c r="J36">
        <f t="shared" si="1"/>
        <v>16.113955291487216</v>
      </c>
      <c r="K36">
        <f t="shared" si="2"/>
        <v>15.328919392248546</v>
      </c>
      <c r="L36">
        <f t="shared" si="3"/>
        <v>7.5961059747785402</v>
      </c>
    </row>
    <row r="37" spans="2:12" x14ac:dyDescent="0.25">
      <c r="B37">
        <v>25790</v>
      </c>
      <c r="C37">
        <v>0.63</v>
      </c>
      <c r="D37">
        <v>132661.70000000001</v>
      </c>
      <c r="E37">
        <v>1162.8</v>
      </c>
      <c r="F37">
        <v>19152.28</v>
      </c>
      <c r="G37">
        <v>4619459</v>
      </c>
      <c r="H37">
        <v>2044.74</v>
      </c>
      <c r="J37">
        <f t="shared" si="1"/>
        <v>9.8601770475739254</v>
      </c>
      <c r="K37">
        <f t="shared" si="2"/>
        <v>15.345788156634132</v>
      </c>
      <c r="L37">
        <f t="shared" si="3"/>
        <v>7.6230259210297051</v>
      </c>
    </row>
    <row r="38" spans="2:12" x14ac:dyDescent="0.25">
      <c r="B38">
        <v>98914</v>
      </c>
      <c r="C38">
        <v>0.51</v>
      </c>
      <c r="D38">
        <v>579430.9</v>
      </c>
      <c r="E38">
        <v>884.27</v>
      </c>
      <c r="F38">
        <v>21436.1</v>
      </c>
      <c r="G38">
        <v>4705251</v>
      </c>
      <c r="H38">
        <v>2164.9499999999998</v>
      </c>
      <c r="J38">
        <f t="shared" si="1"/>
        <v>9.9728316956533085</v>
      </c>
      <c r="K38">
        <f t="shared" si="2"/>
        <v>15.364189677081347</v>
      </c>
      <c r="L38">
        <f t="shared" si="3"/>
        <v>7.6801525454816817</v>
      </c>
    </row>
    <row r="39" spans="2:12" x14ac:dyDescent="0.25">
      <c r="B39">
        <v>41451</v>
      </c>
      <c r="C39">
        <v>0.65</v>
      </c>
      <c r="D39">
        <v>271967.3</v>
      </c>
      <c r="E39">
        <v>1070.32</v>
      </c>
      <c r="F39">
        <v>20600.849999999999</v>
      </c>
      <c r="G39">
        <v>4845947</v>
      </c>
      <c r="H39">
        <v>1954.1</v>
      </c>
      <c r="J39">
        <f t="shared" si="1"/>
        <v>9.9330876160623358</v>
      </c>
      <c r="K39">
        <f t="shared" si="2"/>
        <v>15.393653243443662</v>
      </c>
      <c r="L39">
        <f t="shared" si="3"/>
        <v>7.577685008365898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E9EC-F1D0-44F4-A4A3-548EB1429F72}">
  <dimension ref="A1:H39"/>
  <sheetViews>
    <sheetView tabSelected="1" topLeftCell="C5" workbookViewId="0">
      <selection activeCell="J11" sqref="J11"/>
    </sheetView>
  </sheetViews>
  <sheetFormatPr defaultRowHeight="12.5" x14ac:dyDescent="0.25"/>
  <cols>
    <col min="1" max="1" width="12.6328125"/>
    <col min="2" max="2" width="46.453125" customWidth="1"/>
    <col min="3" max="3" width="27.7265625" customWidth="1"/>
    <col min="4" max="4" width="17.453125" customWidth="1"/>
    <col min="5" max="5" width="11.453125" customWidth="1"/>
    <col min="6" max="6" width="29.453125" bestFit="1" customWidth="1"/>
    <col min="7" max="7" width="38.08984375" bestFit="1" customWidth="1"/>
    <col min="8" max="8" width="30.36328125" bestFit="1" customWidth="1"/>
  </cols>
  <sheetData>
    <row r="1" spans="1:8" ht="14" x14ac:dyDescent="0.3">
      <c r="A1" s="1" t="s">
        <v>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ht="14" x14ac:dyDescent="0.3">
      <c r="A2" s="3" t="s">
        <v>10</v>
      </c>
      <c r="B2" s="3">
        <v>49214</v>
      </c>
      <c r="C2" s="3">
        <v>0.57999999999999996</v>
      </c>
      <c r="D2" s="3">
        <v>215098.2</v>
      </c>
      <c r="E2" s="3">
        <v>878.44</v>
      </c>
      <c r="F2" s="3">
        <v>21722.65</v>
      </c>
      <c r="G2" s="3">
        <v>5340.0140000000001</v>
      </c>
      <c r="H2" s="4">
        <v>1963.99</v>
      </c>
    </row>
    <row r="3" spans="1:8" ht="14" x14ac:dyDescent="0.3">
      <c r="A3" s="3" t="s">
        <v>11</v>
      </c>
      <c r="B3" s="3">
        <v>85051</v>
      </c>
      <c r="C3" s="3">
        <v>0.7</v>
      </c>
      <c r="D3" s="3">
        <v>525184.9</v>
      </c>
      <c r="E3" s="3">
        <v>1145.3499999999999</v>
      </c>
      <c r="F3" s="3">
        <v>21449.16</v>
      </c>
      <c r="G3" s="3">
        <v>4618.7969999999996</v>
      </c>
      <c r="H3" s="5">
        <v>2156.29</v>
      </c>
    </row>
    <row r="4" spans="1:8" ht="14" x14ac:dyDescent="0.3">
      <c r="A4" s="3" t="s">
        <v>12</v>
      </c>
      <c r="B4" s="3">
        <v>46911</v>
      </c>
      <c r="C4" s="3">
        <v>0.6</v>
      </c>
      <c r="D4" s="3">
        <v>277420.79999999999</v>
      </c>
      <c r="E4" s="3">
        <v>1223.45</v>
      </c>
      <c r="F4" s="3">
        <v>20576.48</v>
      </c>
      <c r="G4" s="3">
        <v>4817.8580000000002</v>
      </c>
      <c r="H4" s="5">
        <v>1905.18</v>
      </c>
    </row>
    <row r="5" spans="1:8" ht="14" x14ac:dyDescent="0.3">
      <c r="A5" s="3" t="s">
        <v>13</v>
      </c>
      <c r="B5" s="3">
        <v>112791</v>
      </c>
      <c r="C5" s="3">
        <v>0.59</v>
      </c>
      <c r="D5" s="3">
        <v>815274.1</v>
      </c>
      <c r="E5" s="3">
        <v>1078.46</v>
      </c>
      <c r="F5" s="3">
        <v>20406.68</v>
      </c>
      <c r="G5" s="3">
        <v>4487.2089999999998</v>
      </c>
      <c r="H5" s="5">
        <v>1941.68</v>
      </c>
    </row>
    <row r="6" spans="1:8" ht="14" x14ac:dyDescent="0.3">
      <c r="A6" s="3" t="s">
        <v>14</v>
      </c>
      <c r="B6" s="3">
        <v>58121</v>
      </c>
      <c r="C6" s="3">
        <v>0.6</v>
      </c>
      <c r="D6" s="3">
        <v>286144.90000000002</v>
      </c>
      <c r="E6" s="3">
        <v>1138.3800000000001</v>
      </c>
      <c r="F6" s="3">
        <v>21972.47</v>
      </c>
      <c r="G6" s="3">
        <v>4613.5469999999996</v>
      </c>
      <c r="H6" s="5">
        <v>1875.85</v>
      </c>
    </row>
    <row r="7" spans="1:8" ht="14" x14ac:dyDescent="0.3">
      <c r="A7" s="3" t="s">
        <v>15</v>
      </c>
      <c r="B7" s="3">
        <v>67085</v>
      </c>
      <c r="C7" s="3">
        <v>0.65</v>
      </c>
      <c r="D7" s="3">
        <v>482063.4</v>
      </c>
      <c r="E7" s="3">
        <v>1056.95</v>
      </c>
      <c r="F7" s="3">
        <v>20709.919999999998</v>
      </c>
      <c r="G7" s="3">
        <v>4113.2950000000001</v>
      </c>
      <c r="H7" s="5">
        <v>2159.6799999999998</v>
      </c>
    </row>
    <row r="8" spans="1:8" ht="14" x14ac:dyDescent="0.3">
      <c r="A8" s="3" t="s">
        <v>16</v>
      </c>
      <c r="B8" s="3">
        <v>157001</v>
      </c>
      <c r="C8" s="3">
        <v>0.55000000000000004</v>
      </c>
      <c r="D8" s="3">
        <v>712219.7</v>
      </c>
      <c r="E8" s="3">
        <v>1004.25</v>
      </c>
      <c r="F8" s="3">
        <v>21629.49</v>
      </c>
      <c r="G8" s="3">
        <v>4719.674</v>
      </c>
      <c r="H8" s="5">
        <v>2046.45</v>
      </c>
    </row>
    <row r="9" spans="1:8" ht="14" x14ac:dyDescent="0.3">
      <c r="A9" s="3" t="s">
        <v>17</v>
      </c>
      <c r="B9" s="3">
        <v>72776</v>
      </c>
      <c r="C9" s="3">
        <v>0.41</v>
      </c>
      <c r="D9" s="3">
        <v>400583.4</v>
      </c>
      <c r="E9" s="3">
        <v>1101.98</v>
      </c>
      <c r="F9" s="3">
        <v>21150.9</v>
      </c>
      <c r="G9" s="3">
        <v>4458.9250000000002</v>
      </c>
      <c r="H9" s="5">
        <v>1973.72</v>
      </c>
    </row>
    <row r="10" spans="1:8" ht="14" x14ac:dyDescent="0.3">
      <c r="A10" s="3" t="s">
        <v>18</v>
      </c>
      <c r="B10" s="3">
        <v>44925</v>
      </c>
      <c r="C10" s="3">
        <v>0.63</v>
      </c>
      <c r="D10" s="3">
        <v>211952.2</v>
      </c>
      <c r="E10" s="3">
        <v>1075.67</v>
      </c>
      <c r="F10" s="3">
        <v>21121</v>
      </c>
      <c r="G10" s="3">
        <v>4764.8549999999996</v>
      </c>
      <c r="H10" s="5">
        <v>2136.06</v>
      </c>
    </row>
    <row r="11" spans="1:8" ht="14" x14ac:dyDescent="0.3">
      <c r="A11" s="3" t="s">
        <v>19</v>
      </c>
      <c r="B11" s="3">
        <v>421</v>
      </c>
      <c r="C11" s="3">
        <v>0.64</v>
      </c>
      <c r="D11" s="3">
        <v>5615.74</v>
      </c>
      <c r="E11" s="3">
        <v>832.45</v>
      </c>
      <c r="F11" s="3">
        <v>14738.33</v>
      </c>
      <c r="G11" s="3">
        <v>3118.3330000000001</v>
      </c>
      <c r="H11" s="5">
        <v>2009.98</v>
      </c>
    </row>
    <row r="12" spans="1:8" ht="14" x14ac:dyDescent="0.3">
      <c r="A12" s="3" t="s">
        <v>20</v>
      </c>
      <c r="B12" s="3">
        <v>958</v>
      </c>
      <c r="C12" s="3">
        <v>0.43</v>
      </c>
      <c r="D12" s="3">
        <v>6509.48</v>
      </c>
      <c r="E12" s="3">
        <v>1032.7</v>
      </c>
      <c r="F12" s="3">
        <v>9180</v>
      </c>
      <c r="G12" s="3">
        <v>1339.9169999999999</v>
      </c>
      <c r="H12" s="5">
        <v>2117.7399999999998</v>
      </c>
    </row>
    <row r="13" spans="1:8" ht="14" x14ac:dyDescent="0.3">
      <c r="A13" s="3" t="s">
        <v>21</v>
      </c>
      <c r="B13" s="3">
        <v>1327</v>
      </c>
      <c r="C13" s="3">
        <v>0.77</v>
      </c>
      <c r="D13" s="3">
        <v>9552.36</v>
      </c>
      <c r="E13" s="3">
        <v>938.06</v>
      </c>
      <c r="F13" s="3">
        <v>726.75</v>
      </c>
      <c r="G13" s="3">
        <v>4469.3424117647055</v>
      </c>
      <c r="H13" s="5">
        <v>1984.12</v>
      </c>
    </row>
    <row r="14" spans="1:8" ht="14" x14ac:dyDescent="0.3">
      <c r="A14" s="3" t="s">
        <v>22</v>
      </c>
      <c r="B14" s="3">
        <v>2436</v>
      </c>
      <c r="C14" s="3">
        <v>0.46</v>
      </c>
      <c r="D14" s="3">
        <v>14053.94</v>
      </c>
      <c r="E14" s="3">
        <v>1070.81</v>
      </c>
      <c r="F14" s="3">
        <v>13999.33</v>
      </c>
      <c r="G14" s="3">
        <v>4469.3424117647055</v>
      </c>
      <c r="H14" s="5">
        <v>2237.37</v>
      </c>
    </row>
    <row r="15" spans="1:8" ht="14" x14ac:dyDescent="0.3">
      <c r="A15" s="3" t="s">
        <v>23</v>
      </c>
      <c r="B15" s="3">
        <v>2059</v>
      </c>
      <c r="C15" s="3">
        <v>0.61</v>
      </c>
      <c r="D15" s="3">
        <v>11916.32</v>
      </c>
      <c r="E15" s="3">
        <v>1334.65</v>
      </c>
      <c r="F15" s="3">
        <v>21767.08</v>
      </c>
      <c r="G15" s="3">
        <v>5464.8329999999996</v>
      </c>
      <c r="H15" s="5">
        <v>2365.37</v>
      </c>
    </row>
    <row r="16" spans="1:8" ht="14" x14ac:dyDescent="0.3">
      <c r="A16" s="3" t="s">
        <v>24</v>
      </c>
      <c r="B16" s="3">
        <v>783</v>
      </c>
      <c r="C16" s="3">
        <v>0.42</v>
      </c>
      <c r="D16" s="3">
        <v>3802.62</v>
      </c>
      <c r="E16" s="3">
        <v>1029.9100000000001</v>
      </c>
      <c r="F16" s="3">
        <v>2250</v>
      </c>
      <c r="G16" s="3">
        <v>4469.3424117647055</v>
      </c>
      <c r="H16" s="5">
        <v>2070.0100000000002</v>
      </c>
    </row>
    <row r="17" spans="1:8" ht="14" x14ac:dyDescent="0.3">
      <c r="A17" s="3" t="s">
        <v>25</v>
      </c>
      <c r="B17" s="3">
        <v>2154</v>
      </c>
      <c r="C17" s="3">
        <v>0.48</v>
      </c>
      <c r="D17" s="3">
        <v>9261.8799999999992</v>
      </c>
      <c r="E17" s="3">
        <v>752.5</v>
      </c>
      <c r="F17" s="3">
        <v>733.33330000000001</v>
      </c>
      <c r="G17" s="3">
        <v>4469.3424117647055</v>
      </c>
      <c r="H17" s="5">
        <v>2042.9</v>
      </c>
    </row>
    <row r="18" spans="1:8" ht="14" x14ac:dyDescent="0.3">
      <c r="A18" s="3" t="s">
        <v>26</v>
      </c>
      <c r="B18" s="3">
        <v>1662</v>
      </c>
      <c r="C18" s="3">
        <v>0.41</v>
      </c>
      <c r="D18" s="3">
        <v>8663.7000000000007</v>
      </c>
      <c r="E18" s="3">
        <v>813.97</v>
      </c>
      <c r="F18" s="3">
        <v>4912.4170000000004</v>
      </c>
      <c r="G18" s="3">
        <v>3378.6669999999999</v>
      </c>
      <c r="H18" s="5">
        <v>2011.75</v>
      </c>
    </row>
    <row r="19" spans="1:8" ht="14" x14ac:dyDescent="0.3">
      <c r="A19" s="3" t="s">
        <v>27</v>
      </c>
      <c r="B19" s="3">
        <v>1046</v>
      </c>
      <c r="C19" s="3">
        <v>0.56000000000000005</v>
      </c>
      <c r="D19" s="3">
        <v>9318.26</v>
      </c>
      <c r="E19" s="3">
        <v>1075.79</v>
      </c>
      <c r="F19" s="3">
        <v>8799.9169999999995</v>
      </c>
      <c r="G19" s="3">
        <v>3734.1669999999999</v>
      </c>
      <c r="H19" s="5">
        <v>1967.26</v>
      </c>
    </row>
    <row r="20" spans="1:8" ht="14" x14ac:dyDescent="0.3">
      <c r="A20" s="3" t="s">
        <v>28</v>
      </c>
      <c r="B20" s="3">
        <v>144796</v>
      </c>
      <c r="C20" s="3">
        <v>0.65</v>
      </c>
      <c r="D20" s="3">
        <v>922376.6</v>
      </c>
      <c r="E20" s="3">
        <v>1059.08</v>
      </c>
      <c r="F20" s="3">
        <v>20080.009999999998</v>
      </c>
      <c r="G20" s="3">
        <v>4511.5680000000002</v>
      </c>
      <c r="H20" s="5">
        <v>1826.37</v>
      </c>
    </row>
    <row r="21" spans="1:8" ht="14" x14ac:dyDescent="0.3">
      <c r="A21" s="3" t="s">
        <v>29</v>
      </c>
      <c r="B21" s="3">
        <v>74700</v>
      </c>
      <c r="C21" s="3">
        <v>0.78</v>
      </c>
      <c r="D21" s="3">
        <v>356436.9</v>
      </c>
      <c r="E21" s="3">
        <v>1168.47</v>
      </c>
      <c r="F21" s="3">
        <v>21881.97</v>
      </c>
      <c r="G21" s="3">
        <v>4820.34</v>
      </c>
      <c r="H21" s="5">
        <v>2121.5100000000002</v>
      </c>
    </row>
    <row r="22" spans="1:8" ht="14" x14ac:dyDescent="0.3">
      <c r="A22" s="3" t="s">
        <v>30</v>
      </c>
      <c r="B22" s="3">
        <v>83429</v>
      </c>
      <c r="C22" s="3">
        <v>0.35</v>
      </c>
      <c r="D22" s="3">
        <v>505350.1</v>
      </c>
      <c r="E22" s="3">
        <v>1040.6300000000001</v>
      </c>
      <c r="F22" s="3">
        <v>20070.87</v>
      </c>
      <c r="G22" s="3">
        <v>4561.9269999999997</v>
      </c>
      <c r="H22" s="5">
        <v>1895.65</v>
      </c>
    </row>
    <row r="23" spans="1:8" ht="14" x14ac:dyDescent="0.3">
      <c r="A23" s="3" t="s">
        <v>31</v>
      </c>
      <c r="B23" s="3">
        <v>54461</v>
      </c>
      <c r="C23" s="3">
        <v>0.66</v>
      </c>
      <c r="D23" s="3">
        <v>324039.09999999998</v>
      </c>
      <c r="E23" s="3">
        <v>998.07</v>
      </c>
      <c r="F23" s="3">
        <v>18110.22</v>
      </c>
      <c r="G23" s="3">
        <v>4734.3869999999997</v>
      </c>
      <c r="H23" s="5">
        <v>2126.13</v>
      </c>
    </row>
    <row r="24" spans="1:8" ht="14" x14ac:dyDescent="0.3">
      <c r="A24" s="3" t="s">
        <v>32</v>
      </c>
      <c r="B24" s="3">
        <v>74455</v>
      </c>
      <c r="C24" s="3">
        <v>0.64</v>
      </c>
      <c r="D24" s="3">
        <v>322623</v>
      </c>
      <c r="E24" s="3">
        <v>1240.77</v>
      </c>
      <c r="F24" s="3">
        <v>21465.53</v>
      </c>
      <c r="G24" s="3">
        <v>4878.5349999999999</v>
      </c>
      <c r="H24" s="5">
        <v>2056.91</v>
      </c>
    </row>
    <row r="25" spans="1:8" ht="14" x14ac:dyDescent="0.3">
      <c r="A25" s="3" t="s">
        <v>33</v>
      </c>
      <c r="B25" s="3">
        <v>52080</v>
      </c>
      <c r="C25" s="3">
        <v>0.76</v>
      </c>
      <c r="D25" s="3">
        <v>349790.4</v>
      </c>
      <c r="E25" s="3">
        <v>975.21</v>
      </c>
      <c r="F25" s="3">
        <v>21099.9</v>
      </c>
      <c r="G25" s="3">
        <v>4528.6030000000001</v>
      </c>
      <c r="H25" s="5">
        <v>2134.46</v>
      </c>
    </row>
    <row r="26" spans="1:8" ht="14" x14ac:dyDescent="0.3">
      <c r="A26" s="3" t="s">
        <v>34</v>
      </c>
      <c r="B26" s="3">
        <v>75823</v>
      </c>
      <c r="C26" s="3">
        <v>0.64</v>
      </c>
      <c r="D26" s="3">
        <v>482834.3</v>
      </c>
      <c r="E26" s="3">
        <v>1108.1400000000001</v>
      </c>
      <c r="F26" s="3">
        <v>21068.99</v>
      </c>
      <c r="G26" s="3">
        <v>4700.0559999999996</v>
      </c>
      <c r="H26" s="5">
        <v>1896.28</v>
      </c>
    </row>
    <row r="27" spans="1:8" ht="14" x14ac:dyDescent="0.3">
      <c r="A27" s="3" t="s">
        <v>35</v>
      </c>
      <c r="B27" s="3">
        <v>137939</v>
      </c>
      <c r="C27" s="3">
        <v>0.5</v>
      </c>
      <c r="D27" s="3">
        <v>890672.2</v>
      </c>
      <c r="E27" s="3">
        <v>962.61</v>
      </c>
      <c r="F27" s="3">
        <v>21267.11</v>
      </c>
      <c r="G27" s="3">
        <v>4291.7060000000001</v>
      </c>
      <c r="H27" s="5">
        <v>2132.1999999999998</v>
      </c>
    </row>
    <row r="28" spans="1:8" ht="14" x14ac:dyDescent="0.3">
      <c r="A28" s="3" t="s">
        <v>36</v>
      </c>
      <c r="B28" s="3">
        <v>34627</v>
      </c>
      <c r="C28" s="3">
        <v>0.71</v>
      </c>
      <c r="D28" s="3">
        <v>107391.7</v>
      </c>
      <c r="E28" s="3">
        <v>1246.8399999999999</v>
      </c>
      <c r="F28" s="3">
        <v>21165.65</v>
      </c>
      <c r="G28" s="3">
        <v>4587.2470000000003</v>
      </c>
      <c r="H28" s="5">
        <v>2048.9699999999998</v>
      </c>
    </row>
    <row r="29" spans="1:8" ht="14" x14ac:dyDescent="0.3">
      <c r="A29" s="3" t="s">
        <v>37</v>
      </c>
      <c r="B29" s="3">
        <v>32213</v>
      </c>
      <c r="C29" s="3">
        <v>0.79</v>
      </c>
      <c r="D29" s="3">
        <v>125280.7</v>
      </c>
      <c r="E29" s="3">
        <v>857.92</v>
      </c>
      <c r="F29" s="3">
        <v>20310.14</v>
      </c>
      <c r="G29" s="3">
        <v>4998.1329999999998</v>
      </c>
      <c r="H29" s="5">
        <v>1997.53</v>
      </c>
    </row>
    <row r="30" spans="1:8" ht="14" x14ac:dyDescent="0.3">
      <c r="A30" s="3" t="s">
        <v>38</v>
      </c>
      <c r="B30" s="3">
        <v>80732</v>
      </c>
      <c r="C30" s="3">
        <v>0.74</v>
      </c>
      <c r="D30" s="3">
        <v>300330</v>
      </c>
      <c r="E30" s="3">
        <v>1238.56</v>
      </c>
      <c r="F30" s="3">
        <v>21459.39</v>
      </c>
      <c r="G30" s="3">
        <v>4695.7879999999996</v>
      </c>
      <c r="H30" s="5">
        <v>2027.48</v>
      </c>
    </row>
    <row r="31" spans="1:8" ht="14" x14ac:dyDescent="0.3">
      <c r="A31" s="3" t="s">
        <v>39</v>
      </c>
      <c r="B31" s="3">
        <v>73042</v>
      </c>
      <c r="C31" s="3">
        <v>0.55000000000000004</v>
      </c>
      <c r="D31" s="3">
        <v>453845.4</v>
      </c>
      <c r="E31" s="3">
        <v>1085.9000000000001</v>
      </c>
      <c r="F31" s="3">
        <v>21086.71</v>
      </c>
      <c r="G31" s="3">
        <v>4647.4650000000001</v>
      </c>
      <c r="H31" s="5">
        <v>1855.3</v>
      </c>
    </row>
    <row r="32" spans="1:8" ht="14" x14ac:dyDescent="0.3">
      <c r="A32" s="3" t="s">
        <v>40</v>
      </c>
      <c r="B32" s="3">
        <v>52230</v>
      </c>
      <c r="C32" s="3">
        <v>0.59</v>
      </c>
      <c r="D32" s="3">
        <v>232174.1</v>
      </c>
      <c r="E32" s="3">
        <v>1118.24</v>
      </c>
      <c r="F32" s="3">
        <v>21600.26</v>
      </c>
      <c r="G32" s="3">
        <v>4738.09</v>
      </c>
      <c r="H32" s="5">
        <v>1970.92</v>
      </c>
    </row>
    <row r="33" spans="1:8" ht="14" x14ac:dyDescent="0.3">
      <c r="A33" s="3" t="s">
        <v>41</v>
      </c>
      <c r="B33" s="3">
        <v>46882</v>
      </c>
      <c r="C33" s="3">
        <v>0.62</v>
      </c>
      <c r="D33" s="3">
        <v>193079.3</v>
      </c>
      <c r="E33" s="3">
        <v>1174.2</v>
      </c>
      <c r="F33" s="3">
        <v>18468.52</v>
      </c>
      <c r="G33" s="3">
        <v>5029.4880000000003</v>
      </c>
      <c r="H33" s="5">
        <v>1907</v>
      </c>
    </row>
    <row r="34" spans="1:8" ht="14" x14ac:dyDescent="0.3">
      <c r="A34" s="3" t="s">
        <v>42</v>
      </c>
      <c r="B34" s="3">
        <v>26471</v>
      </c>
      <c r="C34" s="3">
        <v>0.79</v>
      </c>
      <c r="D34" s="3">
        <v>226181.6</v>
      </c>
      <c r="E34" s="3">
        <v>1200.78</v>
      </c>
      <c r="F34" s="3">
        <v>21104.87</v>
      </c>
      <c r="G34" s="3">
        <v>3910.9540000000002</v>
      </c>
      <c r="H34" s="5">
        <v>2139.06</v>
      </c>
    </row>
    <row r="35" spans="1:8" ht="14" x14ac:dyDescent="0.3">
      <c r="A35" s="3" t="s">
        <v>43</v>
      </c>
      <c r="B35" s="3">
        <v>45281</v>
      </c>
      <c r="C35" s="3">
        <v>0.73</v>
      </c>
      <c r="D35" s="3">
        <v>181625.5</v>
      </c>
      <c r="E35" s="3">
        <v>962.57</v>
      </c>
      <c r="F35" s="3">
        <v>21708.84</v>
      </c>
      <c r="G35" s="3">
        <v>4640.4189999999999</v>
      </c>
      <c r="H35" s="5">
        <v>2832.08</v>
      </c>
    </row>
    <row r="36" spans="1:8" ht="14" x14ac:dyDescent="0.3">
      <c r="A36" s="3" t="s">
        <v>44</v>
      </c>
      <c r="B36" s="3">
        <v>30333</v>
      </c>
      <c r="C36" s="3">
        <v>0.63</v>
      </c>
      <c r="D36" s="3">
        <v>251536.4</v>
      </c>
      <c r="E36" s="3">
        <v>1027.26</v>
      </c>
      <c r="F36" s="3">
        <v>9958.6820000000007</v>
      </c>
      <c r="G36" s="3">
        <v>4542.1880000000001</v>
      </c>
      <c r="H36" s="5">
        <v>1990.43</v>
      </c>
    </row>
    <row r="37" spans="1:8" ht="14" x14ac:dyDescent="0.3">
      <c r="A37" s="3" t="s">
        <v>45</v>
      </c>
      <c r="B37" s="3">
        <v>25790</v>
      </c>
      <c r="C37" s="3">
        <v>0.63</v>
      </c>
      <c r="D37" s="3">
        <v>132661.70000000001</v>
      </c>
      <c r="E37" s="3">
        <v>1162.8</v>
      </c>
      <c r="F37" s="3">
        <v>19152.28</v>
      </c>
      <c r="G37" s="3">
        <v>4619.4589999999998</v>
      </c>
      <c r="H37" s="5">
        <v>2044.74</v>
      </c>
    </row>
    <row r="38" spans="1:8" ht="14" x14ac:dyDescent="0.3">
      <c r="A38" s="3" t="s">
        <v>46</v>
      </c>
      <c r="B38" s="3">
        <v>98914</v>
      </c>
      <c r="C38" s="3">
        <v>0.51</v>
      </c>
      <c r="D38" s="3">
        <v>579430.9</v>
      </c>
      <c r="E38" s="3">
        <v>884.27</v>
      </c>
      <c r="F38" s="3">
        <v>21436.1</v>
      </c>
      <c r="G38" s="3">
        <v>4705.2510000000002</v>
      </c>
      <c r="H38" s="5">
        <v>2164.9499999999998</v>
      </c>
    </row>
    <row r="39" spans="1:8" ht="14" x14ac:dyDescent="0.3">
      <c r="A39" s="3" t="s">
        <v>47</v>
      </c>
      <c r="B39" s="3">
        <v>41451</v>
      </c>
      <c r="C39" s="3">
        <v>0.65</v>
      </c>
      <c r="D39" s="3">
        <v>271967.3</v>
      </c>
      <c r="E39" s="3">
        <v>1070.32</v>
      </c>
      <c r="F39" s="3">
        <v>20600.849999999999</v>
      </c>
      <c r="G39" s="3">
        <v>4845.9470000000001</v>
      </c>
      <c r="H39" s="5">
        <v>1954.1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D0A-BD72-4E97-95A7-FB72B17EF871}">
  <dimension ref="A1:L14"/>
  <sheetViews>
    <sheetView zoomScale="140" workbookViewId="0">
      <selection activeCell="E6" sqref="E6"/>
    </sheetView>
  </sheetViews>
  <sheetFormatPr defaultRowHeight="12.5" x14ac:dyDescent="0.25"/>
  <cols>
    <col min="1" max="1" width="16.26953125" bestFit="1" customWidth="1"/>
    <col min="2" max="3" width="5.1796875" bestFit="1" customWidth="1"/>
    <col min="4" max="4" width="9.54296875" bestFit="1" customWidth="1"/>
    <col min="5" max="5" width="8.453125" bestFit="1" customWidth="1"/>
    <col min="6" max="7" width="9.54296875" bestFit="1" customWidth="1"/>
    <col min="8" max="8" width="8.453125" bestFit="1" customWidth="1"/>
    <col min="10" max="10" width="52.1796875" bestFit="1" customWidth="1"/>
  </cols>
  <sheetData>
    <row r="1" spans="1:12" ht="14" x14ac:dyDescent="0.3">
      <c r="A1" s="9" t="s">
        <v>1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J1" s="10" t="s">
        <v>56</v>
      </c>
      <c r="K1" s="10" t="s">
        <v>57</v>
      </c>
      <c r="L1" s="10" t="s">
        <v>58</v>
      </c>
    </row>
    <row r="2" spans="1:12" ht="14" x14ac:dyDescent="0.3">
      <c r="A2" s="9" t="s">
        <v>19</v>
      </c>
      <c r="B2" s="9">
        <v>421</v>
      </c>
      <c r="C2" s="9">
        <v>0.64</v>
      </c>
      <c r="D2" s="9">
        <v>5615.74</v>
      </c>
      <c r="E2" s="9">
        <v>832.45</v>
      </c>
      <c r="F2" s="9">
        <v>14738.33</v>
      </c>
      <c r="G2" s="9">
        <v>3118.3330000000001</v>
      </c>
      <c r="H2" s="9">
        <v>2009.98</v>
      </c>
      <c r="J2" s="1" t="s">
        <v>2</v>
      </c>
      <c r="K2">
        <v>1348.375</v>
      </c>
      <c r="L2">
        <v>66052.766666666663</v>
      </c>
    </row>
    <row r="3" spans="1:12" ht="14" x14ac:dyDescent="0.3">
      <c r="A3" s="9" t="s">
        <v>20</v>
      </c>
      <c r="B3" s="9">
        <v>958</v>
      </c>
      <c r="C3" s="9">
        <v>0.43</v>
      </c>
      <c r="D3" s="9">
        <v>6509.48</v>
      </c>
      <c r="E3" s="9">
        <v>1032.7</v>
      </c>
      <c r="F3" s="9">
        <v>9180</v>
      </c>
      <c r="G3" s="9">
        <v>1339.9169999999999</v>
      </c>
      <c r="H3" s="9">
        <v>2117.7399999999998</v>
      </c>
      <c r="J3" s="1" t="s">
        <v>3</v>
      </c>
      <c r="K3">
        <v>0.52124999999999999</v>
      </c>
      <c r="L3">
        <v>0.62799999999999989</v>
      </c>
    </row>
    <row r="4" spans="1:12" ht="14" x14ac:dyDescent="0.3">
      <c r="A4" s="9" t="s">
        <v>21</v>
      </c>
      <c r="B4" s="9">
        <v>1327</v>
      </c>
      <c r="C4" s="9">
        <v>0.77</v>
      </c>
      <c r="D4" s="9">
        <v>9552.36</v>
      </c>
      <c r="E4" s="9">
        <v>938.06</v>
      </c>
      <c r="F4" s="9">
        <v>726.75</v>
      </c>
      <c r="G4" s="9">
        <v>0</v>
      </c>
      <c r="H4" s="9">
        <v>1984.12</v>
      </c>
      <c r="J4" s="1" t="s">
        <v>4</v>
      </c>
      <c r="K4">
        <v>8347.2474999999995</v>
      </c>
      <c r="L4">
        <v>371582.83733333339</v>
      </c>
    </row>
    <row r="5" spans="1:12" ht="14" x14ac:dyDescent="0.3">
      <c r="A5" s="9" t="s">
        <v>22</v>
      </c>
      <c r="B5" s="9">
        <v>2436</v>
      </c>
      <c r="C5" s="9">
        <v>0.46</v>
      </c>
      <c r="D5" s="9">
        <v>14053.94</v>
      </c>
      <c r="E5" s="9">
        <v>1070.81</v>
      </c>
      <c r="F5" s="9">
        <v>13999.33</v>
      </c>
      <c r="G5" s="9">
        <v>0</v>
      </c>
      <c r="H5" s="9">
        <v>2237.37</v>
      </c>
      <c r="J5" s="1" t="s">
        <v>5</v>
      </c>
      <c r="K5">
        <v>814.53500000000008</v>
      </c>
      <c r="L5">
        <v>1087.3406666666665</v>
      </c>
    </row>
    <row r="6" spans="1:12" ht="14" x14ac:dyDescent="0.3">
      <c r="A6" s="9" t="s">
        <v>24</v>
      </c>
      <c r="B6" s="9">
        <v>783</v>
      </c>
      <c r="C6" s="9">
        <v>0.42</v>
      </c>
      <c r="D6" s="9">
        <v>3802.62</v>
      </c>
      <c r="E6" s="9">
        <v>0</v>
      </c>
      <c r="F6" s="9">
        <v>2250</v>
      </c>
      <c r="G6" s="9">
        <v>0</v>
      </c>
      <c r="H6" s="9">
        <v>2070.0100000000002</v>
      </c>
      <c r="J6" s="2" t="s">
        <v>6</v>
      </c>
      <c r="K6">
        <v>6917.5096625000006</v>
      </c>
      <c r="L6">
        <v>20520.090733333338</v>
      </c>
    </row>
    <row r="7" spans="1:12" ht="14" x14ac:dyDescent="0.3">
      <c r="A7" s="9" t="s">
        <v>25</v>
      </c>
      <c r="B7" s="9">
        <v>2154</v>
      </c>
      <c r="C7" s="9">
        <v>0.48</v>
      </c>
      <c r="D7" s="9">
        <v>9261.8799999999992</v>
      </c>
      <c r="E7" s="9">
        <v>752.5</v>
      </c>
      <c r="F7" s="9">
        <v>733.33330000000001</v>
      </c>
      <c r="G7" s="9">
        <v>0</v>
      </c>
      <c r="H7" s="9">
        <v>2042.9</v>
      </c>
      <c r="J7" s="2" t="s">
        <v>8</v>
      </c>
      <c r="K7">
        <v>1446.3854999999999</v>
      </c>
      <c r="L7">
        <v>4679.5519333333323</v>
      </c>
    </row>
    <row r="8" spans="1:12" ht="14" x14ac:dyDescent="0.3">
      <c r="A8" s="9" t="s">
        <v>26</v>
      </c>
      <c r="B8" s="9">
        <v>1662</v>
      </c>
      <c r="C8" s="9">
        <v>0.41</v>
      </c>
      <c r="D8" s="9">
        <v>8663.7000000000007</v>
      </c>
      <c r="E8" s="9">
        <v>813.97</v>
      </c>
      <c r="F8" s="9">
        <v>4912.4170000000004</v>
      </c>
      <c r="G8" s="9">
        <v>3378.6669999999999</v>
      </c>
      <c r="H8" s="9">
        <v>2011.75</v>
      </c>
      <c r="J8" s="2" t="s">
        <v>9</v>
      </c>
      <c r="K8">
        <v>2055.1412499999997</v>
      </c>
      <c r="L8">
        <v>2054.8779999999997</v>
      </c>
    </row>
    <row r="9" spans="1:12" ht="14" x14ac:dyDescent="0.3">
      <c r="A9" s="9" t="s">
        <v>27</v>
      </c>
      <c r="B9" s="9">
        <v>1046</v>
      </c>
      <c r="C9" s="9">
        <v>0.56000000000000005</v>
      </c>
      <c r="D9" s="9">
        <v>9318.26</v>
      </c>
      <c r="E9" s="9">
        <v>1075.79</v>
      </c>
      <c r="F9" s="9">
        <v>8799.9169999999995</v>
      </c>
      <c r="G9" s="9">
        <v>3734.1669999999999</v>
      </c>
      <c r="H9" s="9">
        <v>1967.26</v>
      </c>
    </row>
    <row r="11" spans="1:12" ht="14" x14ac:dyDescent="0.3">
      <c r="A11" s="10" t="s">
        <v>55</v>
      </c>
      <c r="B11">
        <f>AVERAGE(B2:B9)</f>
        <v>1348.375</v>
      </c>
      <c r="C11">
        <f t="shared" ref="C11:H11" si="0">AVERAGE(C2:C9)</f>
        <v>0.52124999999999999</v>
      </c>
      <c r="D11">
        <f t="shared" si="0"/>
        <v>8347.2474999999995</v>
      </c>
      <c r="E11">
        <f t="shared" si="0"/>
        <v>814.53500000000008</v>
      </c>
      <c r="F11">
        <f t="shared" si="0"/>
        <v>6917.5096625000006</v>
      </c>
      <c r="G11">
        <f t="shared" si="0"/>
        <v>1446.3854999999999</v>
      </c>
      <c r="H11">
        <f t="shared" si="0"/>
        <v>2055.1412499999997</v>
      </c>
    </row>
    <row r="12" spans="1:12" x14ac:dyDescent="0.25">
      <c r="B12">
        <v>1348.375</v>
      </c>
      <c r="C12">
        <v>0.52124999999999999</v>
      </c>
      <c r="D12">
        <v>8347.2474999999995</v>
      </c>
      <c r="E12">
        <v>814.53500000000008</v>
      </c>
      <c r="F12">
        <v>6917.5096625000006</v>
      </c>
      <c r="G12">
        <v>1446.3854999999999</v>
      </c>
      <c r="H12">
        <v>2055.1412499999997</v>
      </c>
    </row>
    <row r="14" spans="1:12" ht="14" x14ac:dyDescent="0.3">
      <c r="A14" s="9" t="s">
        <v>23</v>
      </c>
      <c r="B14" s="9">
        <v>2059</v>
      </c>
      <c r="C14" s="9">
        <v>0.61</v>
      </c>
      <c r="D14" s="9">
        <v>11916.32</v>
      </c>
      <c r="E14" s="9">
        <v>1334.65</v>
      </c>
      <c r="F14" s="9">
        <v>21767.08</v>
      </c>
      <c r="G14" s="9">
        <v>5464.8329999999996</v>
      </c>
      <c r="H14" s="9">
        <v>2365.37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2DCB-B815-4478-909F-4E76A4DD283F}">
  <dimension ref="A1:H34"/>
  <sheetViews>
    <sheetView zoomScale="124" workbookViewId="0">
      <selection activeCell="A11" sqref="A11:H11"/>
    </sheetView>
  </sheetViews>
  <sheetFormatPr defaultRowHeight="12.5" x14ac:dyDescent="0.25"/>
  <cols>
    <col min="1" max="1" width="11.90625" bestFit="1" customWidth="1"/>
    <col min="2" max="2" width="7.36328125" bestFit="1" customWidth="1"/>
    <col min="3" max="3" width="5.1796875" bestFit="1" customWidth="1"/>
    <col min="4" max="4" width="9.54296875" bestFit="1" customWidth="1"/>
    <col min="5" max="5" width="8.453125" bestFit="1" customWidth="1"/>
    <col min="6" max="7" width="9.54296875" bestFit="1" customWidth="1"/>
    <col min="8" max="8" width="8.453125" bestFit="1" customWidth="1"/>
  </cols>
  <sheetData>
    <row r="1" spans="1:8" ht="14" x14ac:dyDescent="0.3">
      <c r="A1" s="9" t="s">
        <v>1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</row>
    <row r="2" spans="1:8" ht="14" x14ac:dyDescent="0.3">
      <c r="A2" s="9" t="s">
        <v>10</v>
      </c>
      <c r="B2" s="9">
        <v>49214</v>
      </c>
      <c r="C2" s="9">
        <v>0.57999999999999996</v>
      </c>
      <c r="D2" s="9">
        <v>215098.2</v>
      </c>
      <c r="E2" s="9">
        <v>878.44</v>
      </c>
      <c r="F2" s="9">
        <v>21722.65</v>
      </c>
      <c r="G2" s="9">
        <v>5340.0140000000001</v>
      </c>
      <c r="H2" s="9">
        <v>1963.99</v>
      </c>
    </row>
    <row r="3" spans="1:8" ht="14" x14ac:dyDescent="0.3">
      <c r="A3" s="9" t="s">
        <v>11</v>
      </c>
      <c r="B3" s="9">
        <v>85051</v>
      </c>
      <c r="C3" s="9">
        <v>0.7</v>
      </c>
      <c r="D3" s="9">
        <v>525184.9</v>
      </c>
      <c r="E3" s="9">
        <v>1145.3499999999999</v>
      </c>
      <c r="F3" s="9">
        <v>21449.16</v>
      </c>
      <c r="G3" s="9">
        <v>4618.7969999999996</v>
      </c>
      <c r="H3" s="9">
        <v>2156.29</v>
      </c>
    </row>
    <row r="4" spans="1:8" ht="14" x14ac:dyDescent="0.3">
      <c r="A4" s="9" t="s">
        <v>12</v>
      </c>
      <c r="B4" s="9">
        <v>46911</v>
      </c>
      <c r="C4" s="9">
        <v>0.6</v>
      </c>
      <c r="D4" s="9">
        <v>277420.79999999999</v>
      </c>
      <c r="E4" s="9">
        <v>1223.45</v>
      </c>
      <c r="F4" s="9">
        <v>20576.48</v>
      </c>
      <c r="G4" s="9">
        <v>4817.8580000000002</v>
      </c>
      <c r="H4" s="9">
        <v>1905.18</v>
      </c>
    </row>
    <row r="5" spans="1:8" ht="14" x14ac:dyDescent="0.3">
      <c r="A5" s="9" t="s">
        <v>13</v>
      </c>
      <c r="B5" s="9">
        <v>112791</v>
      </c>
      <c r="C5" s="9">
        <v>0.59</v>
      </c>
      <c r="D5" s="9">
        <v>815274.1</v>
      </c>
      <c r="E5" s="9">
        <v>1078.46</v>
      </c>
      <c r="F5" s="9">
        <v>20406.68</v>
      </c>
      <c r="G5" s="9">
        <v>4487.2089999999998</v>
      </c>
      <c r="H5" s="9">
        <v>1941.68</v>
      </c>
    </row>
    <row r="6" spans="1:8" ht="14" x14ac:dyDescent="0.3">
      <c r="A6" s="9" t="s">
        <v>14</v>
      </c>
      <c r="B6" s="9">
        <v>58121</v>
      </c>
      <c r="C6" s="9">
        <v>0.6</v>
      </c>
      <c r="D6" s="9">
        <v>286144.90000000002</v>
      </c>
      <c r="E6" s="9">
        <v>1138.3800000000001</v>
      </c>
      <c r="F6" s="9">
        <v>21972.47</v>
      </c>
      <c r="G6" s="9">
        <v>4613.5469999999996</v>
      </c>
      <c r="H6" s="9">
        <v>1875.85</v>
      </c>
    </row>
    <row r="7" spans="1:8" ht="14" x14ac:dyDescent="0.3">
      <c r="A7" s="9" t="s">
        <v>15</v>
      </c>
      <c r="B7" s="9">
        <v>67085</v>
      </c>
      <c r="C7" s="9">
        <v>0.65</v>
      </c>
      <c r="D7" s="9">
        <v>482063.4</v>
      </c>
      <c r="E7" s="9">
        <v>1056.95</v>
      </c>
      <c r="F7" s="9">
        <v>20709.919999999998</v>
      </c>
      <c r="G7" s="9">
        <v>4113.2950000000001</v>
      </c>
      <c r="H7" s="9">
        <v>2159.6799999999998</v>
      </c>
    </row>
    <row r="8" spans="1:8" ht="14" x14ac:dyDescent="0.3">
      <c r="A8" s="9" t="s">
        <v>16</v>
      </c>
      <c r="B8" s="9">
        <v>157001</v>
      </c>
      <c r="C8" s="9">
        <v>0.55000000000000004</v>
      </c>
      <c r="D8" s="9">
        <v>712219.7</v>
      </c>
      <c r="E8" s="9">
        <v>1004.25</v>
      </c>
      <c r="F8" s="9">
        <v>21629.49</v>
      </c>
      <c r="G8" s="9">
        <v>4719.674</v>
      </c>
      <c r="H8" s="9">
        <v>2046.45</v>
      </c>
    </row>
    <row r="9" spans="1:8" ht="14" x14ac:dyDescent="0.3">
      <c r="A9" s="9" t="s">
        <v>17</v>
      </c>
      <c r="B9" s="9">
        <v>72776</v>
      </c>
      <c r="C9" s="9">
        <v>0.41</v>
      </c>
      <c r="D9" s="9">
        <v>400583.4</v>
      </c>
      <c r="E9" s="9">
        <v>1101.98</v>
      </c>
      <c r="F9" s="9">
        <v>21150.9</v>
      </c>
      <c r="G9" s="9">
        <v>4458.9250000000002</v>
      </c>
      <c r="H9" s="9">
        <v>1973.72</v>
      </c>
    </row>
    <row r="10" spans="1:8" ht="14" x14ac:dyDescent="0.3">
      <c r="A10" s="9" t="s">
        <v>18</v>
      </c>
      <c r="B10" s="9">
        <v>44925</v>
      </c>
      <c r="C10" s="9">
        <v>0.63</v>
      </c>
      <c r="D10" s="9">
        <v>211952.2</v>
      </c>
      <c r="E10" s="9">
        <v>1075.67</v>
      </c>
      <c r="F10" s="9">
        <v>21121</v>
      </c>
      <c r="G10" s="9">
        <v>4764.8549999999996</v>
      </c>
      <c r="H10" s="9">
        <v>2136.06</v>
      </c>
    </row>
    <row r="11" spans="1:8" ht="14" x14ac:dyDescent="0.3">
      <c r="A11" s="9" t="s">
        <v>23</v>
      </c>
      <c r="B11" s="9">
        <v>2059</v>
      </c>
      <c r="C11" s="9">
        <v>0.61</v>
      </c>
      <c r="D11" s="9">
        <v>11916.32</v>
      </c>
      <c r="E11" s="9">
        <v>1334.65</v>
      </c>
      <c r="F11" s="9">
        <v>21767.08</v>
      </c>
      <c r="G11" s="9">
        <v>5464.8329999999996</v>
      </c>
      <c r="H11" s="9">
        <v>2365.37</v>
      </c>
    </row>
    <row r="12" spans="1:8" ht="14" x14ac:dyDescent="0.3">
      <c r="A12" s="9" t="s">
        <v>28</v>
      </c>
      <c r="B12" s="9">
        <v>144796</v>
      </c>
      <c r="C12" s="9">
        <v>0.65</v>
      </c>
      <c r="D12" s="9">
        <v>922376.6</v>
      </c>
      <c r="E12" s="9">
        <v>1059.08</v>
      </c>
      <c r="F12" s="9">
        <v>20080.009999999998</v>
      </c>
      <c r="G12" s="9">
        <v>4511.5680000000002</v>
      </c>
      <c r="H12" s="9">
        <v>1826.37</v>
      </c>
    </row>
    <row r="13" spans="1:8" ht="14" x14ac:dyDescent="0.3">
      <c r="A13" s="9" t="s">
        <v>29</v>
      </c>
      <c r="B13" s="9">
        <v>74700</v>
      </c>
      <c r="C13" s="9">
        <v>0.78</v>
      </c>
      <c r="D13" s="9">
        <v>356436.9</v>
      </c>
      <c r="E13" s="9">
        <v>1168.47</v>
      </c>
      <c r="F13" s="9">
        <v>21881.97</v>
      </c>
      <c r="G13" s="9">
        <v>4820.34</v>
      </c>
      <c r="H13" s="9">
        <v>2121.5100000000002</v>
      </c>
    </row>
    <row r="14" spans="1:8" ht="14" x14ac:dyDescent="0.3">
      <c r="A14" s="9" t="s">
        <v>30</v>
      </c>
      <c r="B14" s="9">
        <v>83429</v>
      </c>
      <c r="C14" s="9">
        <v>0.35</v>
      </c>
      <c r="D14" s="9">
        <v>505350.1</v>
      </c>
      <c r="E14" s="9">
        <v>1040.6300000000001</v>
      </c>
      <c r="F14" s="9">
        <v>20070.87</v>
      </c>
      <c r="G14" s="9">
        <v>4561.9269999999997</v>
      </c>
      <c r="H14" s="9">
        <v>1895.65</v>
      </c>
    </row>
    <row r="15" spans="1:8" ht="14" x14ac:dyDescent="0.3">
      <c r="A15" s="9" t="s">
        <v>31</v>
      </c>
      <c r="B15" s="9">
        <v>54461</v>
      </c>
      <c r="C15" s="9">
        <v>0.66</v>
      </c>
      <c r="D15" s="9">
        <v>324039.09999999998</v>
      </c>
      <c r="E15" s="9">
        <v>998.07</v>
      </c>
      <c r="F15" s="9">
        <v>18110.22</v>
      </c>
      <c r="G15" s="9">
        <v>4734.3869999999997</v>
      </c>
      <c r="H15" s="9">
        <v>2126.13</v>
      </c>
    </row>
    <row r="16" spans="1:8" ht="14" x14ac:dyDescent="0.3">
      <c r="A16" s="9" t="s">
        <v>32</v>
      </c>
      <c r="B16" s="9">
        <v>74455</v>
      </c>
      <c r="C16" s="9">
        <v>0.64</v>
      </c>
      <c r="D16" s="9">
        <v>322623</v>
      </c>
      <c r="E16" s="9">
        <v>1240.77</v>
      </c>
      <c r="F16" s="9">
        <v>21465.53</v>
      </c>
      <c r="G16" s="9">
        <v>4878.5349999999999</v>
      </c>
      <c r="H16" s="9">
        <v>2056.91</v>
      </c>
    </row>
    <row r="17" spans="1:8" ht="14" x14ac:dyDescent="0.3">
      <c r="A17" s="9" t="s">
        <v>33</v>
      </c>
      <c r="B17" s="9">
        <v>52080</v>
      </c>
      <c r="C17" s="9">
        <v>0.76</v>
      </c>
      <c r="D17" s="9">
        <v>349790.4</v>
      </c>
      <c r="E17" s="9">
        <v>975.21</v>
      </c>
      <c r="F17" s="9">
        <v>21099.9</v>
      </c>
      <c r="G17" s="9">
        <v>4528.6030000000001</v>
      </c>
      <c r="H17" s="9">
        <v>2134.46</v>
      </c>
    </row>
    <row r="18" spans="1:8" ht="14" x14ac:dyDescent="0.3">
      <c r="A18" s="9" t="s">
        <v>34</v>
      </c>
      <c r="B18" s="9">
        <v>75823</v>
      </c>
      <c r="C18" s="9">
        <v>0.64</v>
      </c>
      <c r="D18" s="9">
        <v>482834.3</v>
      </c>
      <c r="E18" s="9">
        <v>1108.1400000000001</v>
      </c>
      <c r="F18" s="9">
        <v>21068.99</v>
      </c>
      <c r="G18" s="9">
        <v>4700.0559999999996</v>
      </c>
      <c r="H18" s="9">
        <v>1896.28</v>
      </c>
    </row>
    <row r="19" spans="1:8" ht="14" x14ac:dyDescent="0.3">
      <c r="A19" s="9" t="s">
        <v>35</v>
      </c>
      <c r="B19" s="9">
        <v>137939</v>
      </c>
      <c r="C19" s="9">
        <v>0.5</v>
      </c>
      <c r="D19" s="9">
        <v>890672.2</v>
      </c>
      <c r="E19" s="9">
        <v>962.61</v>
      </c>
      <c r="F19" s="9">
        <v>21267.11</v>
      </c>
      <c r="G19" s="9">
        <v>4291.7060000000001</v>
      </c>
      <c r="H19" s="9">
        <v>2132.1999999999998</v>
      </c>
    </row>
    <row r="20" spans="1:8" ht="14" x14ac:dyDescent="0.3">
      <c r="A20" s="9" t="s">
        <v>36</v>
      </c>
      <c r="B20" s="9">
        <v>34627</v>
      </c>
      <c r="C20" s="9">
        <v>0.71</v>
      </c>
      <c r="D20" s="9">
        <v>107391.7</v>
      </c>
      <c r="E20" s="9">
        <v>1246.8399999999999</v>
      </c>
      <c r="F20" s="9">
        <v>21165.65</v>
      </c>
      <c r="G20" s="9">
        <v>4587.2470000000003</v>
      </c>
      <c r="H20" s="9">
        <v>2048.9699999999998</v>
      </c>
    </row>
    <row r="21" spans="1:8" ht="14" x14ac:dyDescent="0.3">
      <c r="A21" s="9" t="s">
        <v>37</v>
      </c>
      <c r="B21" s="9">
        <v>32213</v>
      </c>
      <c r="C21" s="9">
        <v>0.79</v>
      </c>
      <c r="D21" s="9">
        <v>125280.7</v>
      </c>
      <c r="E21" s="9">
        <v>857.92</v>
      </c>
      <c r="F21" s="9">
        <v>20310.14</v>
      </c>
      <c r="G21" s="9">
        <v>4998.1329999999998</v>
      </c>
      <c r="H21" s="9">
        <v>1997.53</v>
      </c>
    </row>
    <row r="22" spans="1:8" ht="14" x14ac:dyDescent="0.3">
      <c r="A22" s="9" t="s">
        <v>38</v>
      </c>
      <c r="B22" s="9">
        <v>80732</v>
      </c>
      <c r="C22" s="9">
        <v>0.74</v>
      </c>
      <c r="D22" s="9">
        <v>300330</v>
      </c>
      <c r="E22" s="9">
        <v>1238.56</v>
      </c>
      <c r="F22" s="9">
        <v>21459.39</v>
      </c>
      <c r="G22" s="9">
        <v>4695.7879999999996</v>
      </c>
      <c r="H22" s="9">
        <v>2027.48</v>
      </c>
    </row>
    <row r="23" spans="1:8" ht="14" x14ac:dyDescent="0.3">
      <c r="A23" s="9" t="s">
        <v>39</v>
      </c>
      <c r="B23" s="9">
        <v>73042</v>
      </c>
      <c r="C23" s="9">
        <v>0.55000000000000004</v>
      </c>
      <c r="D23" s="9">
        <v>453845.4</v>
      </c>
      <c r="E23" s="9">
        <v>1085.9000000000001</v>
      </c>
      <c r="F23" s="9">
        <v>21086.71</v>
      </c>
      <c r="G23" s="9">
        <v>4647.4650000000001</v>
      </c>
      <c r="H23" s="9">
        <v>1855.3</v>
      </c>
    </row>
    <row r="24" spans="1:8" ht="14" x14ac:dyDescent="0.3">
      <c r="A24" s="9" t="s">
        <v>40</v>
      </c>
      <c r="B24" s="9">
        <v>52230</v>
      </c>
      <c r="C24" s="9">
        <v>0.59</v>
      </c>
      <c r="D24" s="9">
        <v>232174.1</v>
      </c>
      <c r="E24" s="9">
        <v>1118.24</v>
      </c>
      <c r="F24" s="9">
        <v>21600.26</v>
      </c>
      <c r="G24" s="9">
        <v>4738.09</v>
      </c>
      <c r="H24" s="9">
        <v>1970.92</v>
      </c>
    </row>
    <row r="25" spans="1:8" ht="14" x14ac:dyDescent="0.3">
      <c r="A25" s="9" t="s">
        <v>41</v>
      </c>
      <c r="B25" s="9">
        <v>46882</v>
      </c>
      <c r="C25" s="9">
        <v>0.62</v>
      </c>
      <c r="D25" s="9">
        <v>193079.3</v>
      </c>
      <c r="E25" s="9">
        <v>1174.2</v>
      </c>
      <c r="F25" s="9">
        <v>18468.52</v>
      </c>
      <c r="G25" s="9">
        <v>5029.4880000000003</v>
      </c>
      <c r="H25" s="9">
        <v>1907</v>
      </c>
    </row>
    <row r="26" spans="1:8" ht="14" x14ac:dyDescent="0.3">
      <c r="A26" s="9" t="s">
        <v>42</v>
      </c>
      <c r="B26" s="9">
        <v>26471</v>
      </c>
      <c r="C26" s="9">
        <v>0.79</v>
      </c>
      <c r="D26" s="9">
        <v>226181.6</v>
      </c>
      <c r="E26" s="9">
        <v>1200.78</v>
      </c>
      <c r="F26" s="9">
        <v>21104.87</v>
      </c>
      <c r="G26" s="9">
        <v>3910.9540000000002</v>
      </c>
      <c r="H26" s="9">
        <v>2139.06</v>
      </c>
    </row>
    <row r="27" spans="1:8" ht="14" x14ac:dyDescent="0.3">
      <c r="A27" s="9" t="s">
        <v>43</v>
      </c>
      <c r="B27" s="9">
        <v>45281</v>
      </c>
      <c r="C27" s="9">
        <v>0.73</v>
      </c>
      <c r="D27" s="9">
        <v>181625.5</v>
      </c>
      <c r="E27" s="9">
        <v>962.57</v>
      </c>
      <c r="F27" s="9">
        <v>21708.84</v>
      </c>
      <c r="G27" s="9">
        <v>4640.4189999999999</v>
      </c>
      <c r="H27" s="9">
        <v>2832.08</v>
      </c>
    </row>
    <row r="28" spans="1:8" ht="14" x14ac:dyDescent="0.3">
      <c r="A28" s="9" t="s">
        <v>44</v>
      </c>
      <c r="B28" s="9">
        <v>30333</v>
      </c>
      <c r="C28" s="9">
        <v>0.63</v>
      </c>
      <c r="D28" s="9">
        <v>251536.4</v>
      </c>
      <c r="E28" s="9">
        <v>1027.26</v>
      </c>
      <c r="F28" s="9">
        <v>9958.6820000000007</v>
      </c>
      <c r="G28" s="9">
        <v>4542.1880000000001</v>
      </c>
      <c r="H28" s="9">
        <v>1990.43</v>
      </c>
    </row>
    <row r="29" spans="1:8" ht="14" x14ac:dyDescent="0.3">
      <c r="A29" s="9" t="s">
        <v>45</v>
      </c>
      <c r="B29" s="9">
        <v>25790</v>
      </c>
      <c r="C29" s="9">
        <v>0.63</v>
      </c>
      <c r="D29" s="9">
        <v>132661.70000000001</v>
      </c>
      <c r="E29" s="9">
        <v>1162.8</v>
      </c>
      <c r="F29" s="9">
        <v>19152.28</v>
      </c>
      <c r="G29" s="9">
        <v>4619.4589999999998</v>
      </c>
      <c r="H29" s="9">
        <v>2044.74</v>
      </c>
    </row>
    <row r="30" spans="1:8" ht="14" x14ac:dyDescent="0.3">
      <c r="A30" s="9" t="s">
        <v>46</v>
      </c>
      <c r="B30" s="9">
        <v>98914</v>
      </c>
      <c r="C30" s="9">
        <v>0.51</v>
      </c>
      <c r="D30" s="9">
        <v>579430.9</v>
      </c>
      <c r="E30" s="9">
        <v>884.27</v>
      </c>
      <c r="F30" s="9">
        <v>21436.1</v>
      </c>
      <c r="G30" s="9">
        <v>4705.2510000000002</v>
      </c>
      <c r="H30" s="9">
        <v>2164.9499999999998</v>
      </c>
    </row>
    <row r="31" spans="1:8" ht="14" x14ac:dyDescent="0.3">
      <c r="A31" s="9" t="s">
        <v>47</v>
      </c>
      <c r="B31" s="9">
        <v>41451</v>
      </c>
      <c r="C31" s="9">
        <v>0.65</v>
      </c>
      <c r="D31" s="9">
        <v>271967.3</v>
      </c>
      <c r="E31" s="9">
        <v>1070.32</v>
      </c>
      <c r="F31" s="9">
        <v>20600.849999999999</v>
      </c>
      <c r="G31" s="9">
        <v>4845.9470000000001</v>
      </c>
      <c r="H31" s="9">
        <v>1954.1</v>
      </c>
    </row>
    <row r="33" spans="1:8" ht="14" x14ac:dyDescent="0.3">
      <c r="A33" s="10" t="s">
        <v>55</v>
      </c>
      <c r="B33">
        <f>AVERAGE(B2:B31)</f>
        <v>66052.766666666663</v>
      </c>
      <c r="C33">
        <f t="shared" ref="C33:H33" si="0">AVERAGE(C2:C31)</f>
        <v>0.62799999999999989</v>
      </c>
      <c r="D33">
        <f t="shared" si="0"/>
        <v>371582.83733333339</v>
      </c>
      <c r="E33">
        <f t="shared" si="0"/>
        <v>1087.3406666666665</v>
      </c>
      <c r="F33">
        <f t="shared" si="0"/>
        <v>20520.090733333338</v>
      </c>
      <c r="G33">
        <f t="shared" si="0"/>
        <v>4679.5519333333323</v>
      </c>
      <c r="H33">
        <f t="shared" si="0"/>
        <v>2054.8779999999997</v>
      </c>
    </row>
    <row r="34" spans="1:8" x14ac:dyDescent="0.25">
      <c r="B34">
        <v>66052.766666666663</v>
      </c>
      <c r="C34">
        <v>0.62799999999999989</v>
      </c>
      <c r="D34">
        <v>371582.83733333339</v>
      </c>
      <c r="E34">
        <v>1087.3406666666665</v>
      </c>
      <c r="F34">
        <v>20520.090733333338</v>
      </c>
      <c r="G34">
        <v>4679.5519333333323</v>
      </c>
      <c r="H34">
        <v>2054.8779999999997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variabel</vt:lpstr>
      <vt:lpstr>Sheet1</vt:lpstr>
      <vt:lpstr>Sheet2</vt:lpstr>
      <vt:lpstr>var_fix</vt:lpstr>
      <vt:lpstr>cluster 1</vt:lpstr>
      <vt:lpstr>cluster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Rezkihana Nur Fadhilah</cp:lastModifiedBy>
  <dcterms:modified xsi:type="dcterms:W3CDTF">2025-01-31T01:58:26Z</dcterms:modified>
</cp:coreProperties>
</file>